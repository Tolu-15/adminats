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ats-membership-app\app\assets\"/>
    </mc:Choice>
  </mc:AlternateContent>
  <xr:revisionPtr revIDLastSave="0" documentId="8_{2240FDE0-571D-405E-A29A-026E092D864C}" xr6:coauthVersionLast="47" xr6:coauthVersionMax="47" xr10:uidLastSave="{00000000-0000-0000-0000-000000000000}"/>
  <bookViews>
    <workbookView xWindow="-120" yWindow="-120" windowWidth="20730" windowHeight="11760" tabRatio="500" firstSheet="1" activeTab="3" xr2:uid="{00000000-000D-0000-FFFF-FFFF00000000}"/>
  </bookViews>
  <sheets>
    <sheet name="Students" sheetId="2" r:id="rId1"/>
    <sheet name="Membership (MEM-100)" sheetId="3" r:id="rId2"/>
    <sheet name="MIT (MIT-200)" sheetId="4" r:id="rId3"/>
    <sheet name="Proclaimers (PRO-300)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8" i="5" l="1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H28" i="3"/>
  <c r="K28" i="3" s="1"/>
  <c r="H27" i="3"/>
  <c r="K27" i="3" s="1"/>
  <c r="H26" i="3"/>
  <c r="K26" i="3" s="1"/>
  <c r="H25" i="3"/>
  <c r="K25" i="3" s="1"/>
  <c r="H24" i="3"/>
  <c r="K24" i="3" s="1"/>
  <c r="H23" i="3"/>
  <c r="K23" i="3" s="1"/>
  <c r="H22" i="3"/>
  <c r="K22" i="3" s="1"/>
  <c r="H21" i="3"/>
  <c r="K21" i="3" s="1"/>
  <c r="H20" i="3"/>
  <c r="K20" i="3" s="1"/>
  <c r="H19" i="3"/>
  <c r="K19" i="3" s="1"/>
  <c r="H18" i="3"/>
  <c r="K18" i="3" s="1"/>
  <c r="H17" i="3"/>
  <c r="K17" i="3" s="1"/>
  <c r="H16" i="3"/>
  <c r="K16" i="3" s="1"/>
  <c r="H15" i="3"/>
  <c r="K15" i="3" s="1"/>
  <c r="H14" i="3"/>
  <c r="K14" i="3" s="1"/>
  <c r="H13" i="3"/>
  <c r="K13" i="3" s="1"/>
  <c r="H12" i="3"/>
  <c r="K12" i="3" s="1"/>
  <c r="H11" i="3"/>
  <c r="K11" i="3" s="1"/>
  <c r="H10" i="3"/>
  <c r="K10" i="3" s="1"/>
  <c r="H9" i="3"/>
  <c r="K9" i="3" s="1"/>
  <c r="H8" i="3"/>
  <c r="K8" i="3" s="1"/>
  <c r="H7" i="3"/>
  <c r="K7" i="3" s="1"/>
  <c r="H6" i="3"/>
  <c r="K6" i="3" s="1"/>
  <c r="H5" i="3"/>
  <c r="K5" i="3" s="1"/>
  <c r="H4" i="3"/>
  <c r="K4" i="3" s="1"/>
  <c r="W28" i="2"/>
  <c r="V28" i="2"/>
  <c r="U28" i="2"/>
  <c r="W27" i="2"/>
  <c r="V27" i="2"/>
  <c r="U27" i="2"/>
  <c r="W26" i="2"/>
  <c r="V26" i="2"/>
  <c r="U26" i="2"/>
  <c r="W25" i="2"/>
  <c r="V25" i="2"/>
  <c r="U25" i="2"/>
  <c r="W24" i="2"/>
  <c r="V24" i="2"/>
  <c r="U24" i="2"/>
  <c r="W23" i="2"/>
  <c r="V23" i="2"/>
  <c r="U23" i="2"/>
  <c r="W22" i="2"/>
  <c r="V22" i="2"/>
  <c r="U22" i="2"/>
  <c r="W21" i="2"/>
  <c r="V21" i="2"/>
  <c r="U21" i="2"/>
  <c r="W20" i="2"/>
  <c r="V20" i="2"/>
  <c r="U20" i="2"/>
  <c r="W19" i="2"/>
  <c r="V19" i="2"/>
  <c r="U19" i="2"/>
  <c r="W18" i="2"/>
  <c r="V18" i="2"/>
  <c r="U18" i="2"/>
  <c r="W17" i="2"/>
  <c r="V17" i="2"/>
  <c r="U17" i="2"/>
  <c r="W16" i="2"/>
  <c r="V16" i="2"/>
  <c r="U16" i="2"/>
  <c r="W15" i="2"/>
  <c r="V15" i="2"/>
  <c r="U15" i="2"/>
  <c r="W14" i="2"/>
  <c r="V14" i="2"/>
  <c r="U14" i="2"/>
  <c r="W13" i="2"/>
  <c r="V13" i="2"/>
  <c r="U13" i="2"/>
  <c r="W12" i="2"/>
  <c r="V12" i="2"/>
  <c r="U12" i="2"/>
  <c r="W11" i="2"/>
  <c r="V11" i="2"/>
  <c r="U11" i="2"/>
  <c r="W10" i="2"/>
  <c r="V10" i="2"/>
  <c r="U10" i="2"/>
  <c r="W9" i="2"/>
  <c r="V9" i="2"/>
  <c r="U9" i="2"/>
  <c r="W8" i="2"/>
  <c r="V8" i="2"/>
  <c r="U8" i="2"/>
  <c r="W7" i="2"/>
  <c r="V7" i="2"/>
  <c r="U7" i="2"/>
  <c r="W6" i="2"/>
  <c r="V6" i="2"/>
  <c r="U6" i="2"/>
  <c r="W5" i="2"/>
  <c r="V5" i="2"/>
  <c r="U5" i="2"/>
  <c r="W4" i="2"/>
  <c r="V4" i="2"/>
  <c r="U4" i="2"/>
  <c r="B7" i="5" l="1"/>
  <c r="A7" i="5"/>
  <c r="B6" i="5"/>
  <c r="A6" i="5"/>
  <c r="B5" i="5"/>
  <c r="A5" i="5"/>
  <c r="B4" i="5"/>
  <c r="B25" i="5"/>
  <c r="A26" i="5"/>
  <c r="B26" i="5"/>
  <c r="A27" i="5"/>
  <c r="B28" i="5"/>
  <c r="B27" i="5"/>
  <c r="A28" i="5"/>
  <c r="A16" i="5"/>
  <c r="B14" i="5"/>
  <c r="B13" i="5"/>
  <c r="B12" i="5"/>
  <c r="A12" i="5"/>
  <c r="B11" i="5"/>
  <c r="A11" i="5"/>
  <c r="B19" i="5"/>
  <c r="A20" i="5"/>
  <c r="B10" i="5"/>
  <c r="B20" i="5"/>
  <c r="A21" i="5"/>
  <c r="A10" i="5"/>
  <c r="B21" i="5"/>
  <c r="A22" i="5"/>
  <c r="B9" i="5"/>
  <c r="B22" i="5"/>
  <c r="A23" i="5"/>
  <c r="A9" i="5"/>
  <c r="B23" i="5"/>
  <c r="A24" i="5"/>
  <c r="B8" i="5"/>
  <c r="B24" i="5"/>
  <c r="A25" i="5"/>
  <c r="A8" i="5"/>
  <c r="A19" i="5"/>
  <c r="B18" i="5"/>
  <c r="A18" i="5"/>
  <c r="B17" i="5"/>
  <c r="A17" i="5"/>
  <c r="B16" i="5"/>
  <c r="B15" i="5"/>
  <c r="A15" i="5"/>
  <c r="A14" i="5"/>
  <c r="A13" i="5"/>
  <c r="A4" i="5"/>
  <c r="B9" i="4"/>
  <c r="A9" i="4"/>
  <c r="B8" i="4"/>
  <c r="A8" i="4"/>
  <c r="B7" i="4"/>
  <c r="A7" i="4"/>
  <c r="B6" i="4"/>
  <c r="A6" i="4"/>
  <c r="B5" i="4"/>
  <c r="A5" i="4"/>
  <c r="B4" i="4"/>
  <c r="A4" i="4"/>
  <c r="B25" i="4"/>
  <c r="A21" i="4"/>
  <c r="A20" i="4"/>
  <c r="A19" i="4"/>
  <c r="B18" i="4"/>
  <c r="B16" i="4"/>
  <c r="B15" i="4"/>
  <c r="A14" i="4"/>
  <c r="B13" i="4"/>
  <c r="A12" i="4"/>
  <c r="B11" i="4"/>
  <c r="A10" i="4"/>
  <c r="B28" i="4"/>
  <c r="A28" i="4"/>
  <c r="B27" i="4"/>
  <c r="A27" i="4"/>
  <c r="B26" i="4"/>
  <c r="A26" i="4"/>
  <c r="A25" i="4"/>
  <c r="B24" i="4"/>
  <c r="A24" i="4"/>
  <c r="B23" i="4"/>
  <c r="A23" i="4"/>
  <c r="B22" i="4"/>
  <c r="A22" i="4"/>
  <c r="B21" i="4"/>
  <c r="B20" i="4"/>
  <c r="B19" i="4"/>
  <c r="A18" i="4"/>
  <c r="B17" i="4"/>
  <c r="A17" i="4"/>
  <c r="A16" i="4"/>
  <c r="A15" i="4"/>
  <c r="B14" i="4"/>
  <c r="A13" i="4"/>
  <c r="B12" i="4"/>
  <c r="A11" i="4"/>
  <c r="B10" i="4"/>
  <c r="B22" i="3"/>
  <c r="A23" i="3"/>
  <c r="B23" i="3"/>
  <c r="A24" i="3"/>
  <c r="B24" i="3"/>
  <c r="A25" i="3"/>
  <c r="B25" i="3"/>
  <c r="A26" i="3"/>
  <c r="B26" i="3"/>
  <c r="A27" i="3"/>
  <c r="B27" i="3"/>
  <c r="A28" i="3"/>
  <c r="B28" i="3"/>
  <c r="B14" i="3"/>
  <c r="A14" i="3"/>
  <c r="A15" i="3"/>
  <c r="B13" i="3"/>
  <c r="A13" i="3"/>
  <c r="B15" i="3"/>
  <c r="B12" i="3"/>
  <c r="A12" i="3"/>
  <c r="A16" i="3"/>
  <c r="B11" i="3"/>
  <c r="A11" i="3"/>
  <c r="B16" i="3"/>
  <c r="B10" i="3"/>
  <c r="A10" i="3"/>
  <c r="A17" i="3"/>
  <c r="B9" i="3"/>
  <c r="A9" i="3"/>
  <c r="B17" i="3"/>
  <c r="B8" i="3"/>
  <c r="A8" i="3"/>
  <c r="A18" i="3"/>
  <c r="B7" i="3"/>
  <c r="A7" i="3"/>
  <c r="B18" i="3"/>
  <c r="B6" i="3"/>
  <c r="A6" i="3"/>
  <c r="A19" i="3"/>
  <c r="B5" i="3"/>
  <c r="A5" i="3"/>
  <c r="B19" i="3"/>
  <c r="B4" i="3"/>
  <c r="A4" i="3"/>
  <c r="A20" i="3"/>
  <c r="B20" i="3"/>
  <c r="A21" i="3"/>
  <c r="B21" i="3"/>
  <c r="A22" i="3"/>
</calcChain>
</file>

<file path=xl/sharedStrings.xml><?xml version="1.0" encoding="utf-8"?>
<sst xmlns="http://schemas.openxmlformats.org/spreadsheetml/2006/main" count="179" uniqueCount="120">
  <si>
    <t>BATCH 056. [MONTH, YEAR]</t>
  </si>
  <si>
    <t>GENDER</t>
  </si>
  <si>
    <t>DATE OF BIRTH</t>
  </si>
  <si>
    <t>EMAIL</t>
  </si>
  <si>
    <t>RESIDENTIAL ADDRESS</t>
  </si>
  <si>
    <t>STATE OF RESIDENCE</t>
  </si>
  <si>
    <t>STATE OF ORIGIN</t>
  </si>
  <si>
    <t>HOME TOWN / LGA</t>
  </si>
  <si>
    <t>COUNTRY OF RESIDENCE</t>
  </si>
  <si>
    <t>NATIONALITY</t>
  </si>
  <si>
    <t>PASSPORT PHOTOGRAPH UPLOADED</t>
  </si>
  <si>
    <t>CURRENT CLASS</t>
  </si>
  <si>
    <t>_MEM_RANK</t>
  </si>
  <si>
    <t>_MIT_RANK</t>
  </si>
  <si>
    <t>_PRO_RANK</t>
  </si>
  <si>
    <t>2026056 10001</t>
  </si>
  <si>
    <t>SAMPLE STUDENT ONE</t>
  </si>
  <si>
    <t>FEMALE</t>
  </si>
  <si>
    <t>2008-03-14</t>
  </si>
  <si>
    <t>8000000001</t>
  </si>
  <si>
    <t>sample1@example.com</t>
  </si>
  <si>
    <t>1 Example Street, Lagos</t>
  </si>
  <si>
    <t>LAGOS</t>
  </si>
  <si>
    <t>OYO</t>
  </si>
  <si>
    <t>IBADAN</t>
  </si>
  <si>
    <t>NIGERIA</t>
  </si>
  <si>
    <t>NIGERIAN</t>
  </si>
  <si>
    <t>YES</t>
  </si>
  <si>
    <t>SIGNED</t>
  </si>
  <si>
    <t>Membership</t>
  </si>
  <si>
    <t>2026056 10002</t>
  </si>
  <si>
    <t>SAMPLE STUDENT TWO</t>
  </si>
  <si>
    <t>MALE</t>
  </si>
  <si>
    <t>2007-11-02</t>
  </si>
  <si>
    <t>8000000002</t>
  </si>
  <si>
    <t>sample2@example.com</t>
  </si>
  <si>
    <t>2 Example Street, Lagos</t>
  </si>
  <si>
    <t>OGUN</t>
  </si>
  <si>
    <t>ABEOKUTA</t>
  </si>
  <si>
    <t>2026056 10003</t>
  </si>
  <si>
    <t>SAMPLE STUDENT THREE</t>
  </si>
  <si>
    <t>8000000003</t>
  </si>
  <si>
    <t>sample3@example.com</t>
  </si>
  <si>
    <t>3 Example Street, Lagos</t>
  </si>
  <si>
    <t>EPE</t>
  </si>
  <si>
    <t>MIT</t>
  </si>
  <si>
    <t>2026056 10004</t>
  </si>
  <si>
    <t>SAMPLE STUDENT FOUR</t>
  </si>
  <si>
    <t>2005-09-09</t>
  </si>
  <si>
    <t>8000000004</t>
  </si>
  <si>
    <t>sample4@example.com</t>
  </si>
  <si>
    <t>4 Example Street, Lagos</t>
  </si>
  <si>
    <t>DELTA</t>
  </si>
  <si>
    <t>WARRI</t>
  </si>
  <si>
    <t>MEDIA</t>
  </si>
  <si>
    <t>2026056 10005</t>
  </si>
  <si>
    <t>SAMPLE STUDENT FIVE</t>
  </si>
  <si>
    <t>2004-01-30</t>
  </si>
  <si>
    <t>8000000005</t>
  </si>
  <si>
    <t>sample5@example.com</t>
  </si>
  <si>
    <t>5 Example Street, Lagos</t>
  </si>
  <si>
    <t>ANAMBRA</t>
  </si>
  <si>
    <t>AWKA</t>
  </si>
  <si>
    <t>MULTI-MEDIA</t>
  </si>
  <si>
    <t>Proclaimers</t>
  </si>
  <si>
    <t>2026056 10006</t>
  </si>
  <si>
    <t>SAMPLE STUDENT SIX</t>
  </si>
  <si>
    <t>2003-12-12</t>
  </si>
  <si>
    <t>8000000006</t>
  </si>
  <si>
    <t>sample6@example.com</t>
  </si>
  <si>
    <t>6 Example Street, Lagos</t>
  </si>
  <si>
    <t>RIVERS</t>
  </si>
  <si>
    <t>PORT HARCOURT</t>
  </si>
  <si>
    <t>MEMBERSHIP — MEM-100 Class Records</t>
  </si>
  <si>
    <t>TRAINERS</t>
  </si>
  <si>
    <t>ATTENDANCE</t>
  </si>
  <si>
    <t>TEST</t>
  </si>
  <si>
    <t>ASSIGNMENT</t>
  </si>
  <si>
    <t>ASSESSMENT</t>
  </si>
  <si>
    <t>PRESENTATION</t>
  </si>
  <si>
    <t>EXAM</t>
  </si>
  <si>
    <t>FINAL GRADES</t>
  </si>
  <si>
    <t>BAPTISM (WATER)</t>
  </si>
  <si>
    <t>BAPTISM (HOLY SPIRIT)</t>
  </si>
  <si>
    <t>PORTAL</t>
  </si>
  <si>
    <t>STATUS</t>
  </si>
  <si>
    <t>COMMENTS</t>
  </si>
  <si>
    <t>COVENANT DEED</t>
  </si>
  <si>
    <t>FIRST TIMER (YES/NO)</t>
  </si>
  <si>
    <t>MIT — MIT-200 Class Records</t>
  </si>
  <si>
    <t>MIDTERM TEST</t>
  </si>
  <si>
    <t>INTERACTIONS</t>
  </si>
  <si>
    <t>BIBLE STUDY</t>
  </si>
  <si>
    <t>CITH</t>
  </si>
  <si>
    <t>EVANGELISM</t>
  </si>
  <si>
    <t>FINAL EXAM</t>
  </si>
  <si>
    <t>DEPARTMENT</t>
  </si>
  <si>
    <t>PROCLAIMERS — PRO-300 Class Records</t>
  </si>
  <si>
    <t>PROJECT</t>
  </si>
  <si>
    <t>SEMINAR ATTENDANCE</t>
  </si>
  <si>
    <t>STATUS (RELEASED)</t>
  </si>
  <si>
    <t>NAMES</t>
  </si>
  <si>
    <t>NEXT OF KIN NAME</t>
  </si>
  <si>
    <t>DEPARTMENT, MINISTRY OR UNIT</t>
  </si>
  <si>
    <t>COVENANT DEED SIGNED</t>
  </si>
  <si>
    <t>NEXT OF KIN PHONE NO.</t>
  </si>
  <si>
    <t>RELATIONSHIP WITH NEXT OF KIN</t>
  </si>
  <si>
    <t>CHARTER MEMBERSHIP ID NO.</t>
  </si>
  <si>
    <t>REG. NO.</t>
  </si>
  <si>
    <t>PHONE NO.</t>
  </si>
  <si>
    <t xml:space="preserve"> NAMES</t>
  </si>
  <si>
    <t xml:space="preserve">CLASS </t>
  </si>
  <si>
    <t>CHARTER MEMBERSHIP  ID NO.</t>
  </si>
  <si>
    <t>DATE  JOINED</t>
  </si>
  <si>
    <t>ID CARD COLLECTED/DATE</t>
  </si>
  <si>
    <t>COMMUNITY SERVICE</t>
  </si>
  <si>
    <t>DEPT. CONFIRMATION</t>
  </si>
  <si>
    <t>DEPARTMENT/MINISTRY</t>
  </si>
  <si>
    <t>MT.OF INFLUENCE</t>
  </si>
  <si>
    <t>DATE JOINED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</si>
</sst>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3"/>
      <color rgb="FF142033"/>
      <name val="Cambria"/>
      <charset val="1"/>
    </font>
    <font>
      <b/>
      <sz val="10"/>
      <color rgb="FFFFFFFF"/>
      <name val="Cambria"/>
      <charset val="1"/>
    </font>
    <font>
      <b/>
      <sz val="10"/>
      <color rgb="FFB8862E"/>
      <name val="Cambria"/>
      <charset val="1"/>
    </font>
    <font>
      <b/>
      <sz val="10"/>
      <color rgb="FFFFFFFF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142033"/>
        <bgColor rgb="FF003366"/>
      </patternFill>
    </fill>
    <fill>
      <patternFill patternType="solid">
        <fgColor rgb="FFFFF6D9"/>
        <bgColor rgb="FFF2F0E8"/>
      </patternFill>
    </fill>
    <fill>
      <patternFill patternType="solid">
        <fgColor rgb="FFF2F0E8"/>
        <bgColor rgb="FFEAF2EC"/>
      </patternFill>
    </fill>
    <fill>
      <patternFill patternType="solid">
        <fgColor rgb="FFFDE9E0"/>
        <bgColor rgb="FFF2F0E8"/>
      </patternFill>
    </fill>
    <fill>
      <patternFill patternType="solid">
        <fgColor rgb="FFEAF2EC"/>
        <bgColor rgb="FFF2F0E8"/>
      </patternFill>
    </fill>
  </fills>
  <borders count="2">
    <border>
      <left/>
      <right/>
      <top/>
      <bottom/>
      <diagonal/>
    </border>
    <border>
      <left style="thin">
        <color rgb="FFDDD8C8"/>
      </left>
      <right style="thin">
        <color rgb="FFDDD8C8"/>
      </right>
      <top style="thin">
        <color rgb="FFDDD8C8"/>
      </top>
      <bottom style="thin">
        <color rgb="FFDDD8C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3" borderId="0" xfId="0" applyFont="1" applyFill="1" applyProtection="1">
      <protection locked="0"/>
    </xf>
    <xf numFmtId="0" fontId="2" fillId="2" borderId="0" xfId="0" applyFont="1" applyFill="1" applyAlignment="1">
      <alignment horizontal="center" vertical="center" wrapText="1"/>
    </xf>
    <xf numFmtId="0" fontId="0" fillId="4" borderId="1" xfId="0" applyFill="1" applyBorder="1"/>
    <xf numFmtId="0" fontId="0" fillId="3" borderId="1" xfId="0" applyFill="1" applyBorder="1" applyProtection="1">
      <protection locked="0"/>
    </xf>
    <xf numFmtId="0" fontId="0" fillId="5" borderId="1" xfId="0" applyFill="1" applyBorder="1" applyProtection="1">
      <protection locked="0"/>
    </xf>
    <xf numFmtId="0" fontId="0" fillId="6" borderId="1" xfId="0" applyFill="1" applyBorder="1"/>
    <xf numFmtId="0" fontId="2" fillId="2" borderId="0" xfId="0" applyFont="1" applyFill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horizontal="center" vertical="center" wrapText="1"/>
      <protection hidden="1"/>
    </xf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2E"/>
      <rgbColor rgb="FF800080"/>
      <rgbColor rgb="FF008080"/>
      <rgbColor rgb="FFC0C0C0"/>
      <rgbColor rgb="FF808080"/>
      <rgbColor rgb="FF9999FF"/>
      <rgbColor rgb="FF993366"/>
      <rgbColor rgb="FFFFF6D9"/>
      <rgbColor rgb="FFEAF2EC"/>
      <rgbColor rgb="FF660066"/>
      <rgbColor rgb="FFFF8080"/>
      <rgbColor rgb="FF0066CC"/>
      <rgbColor rgb="FFDDD8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0E8"/>
      <rgbColor rgb="FFCCFFCC"/>
      <rgbColor rgb="FFFDE9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0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8"/>
  <sheetViews>
    <sheetView zoomScaleNormal="100" workbookViewId="0"/>
  </sheetViews>
  <sheetFormatPr defaultColWidth="8.7109375" defaultRowHeight="15" x14ac:dyDescent="0.25"/>
  <cols>
    <col min="1" max="1" width="13.140625" customWidth="1"/>
    <col min="2" max="2" width="14" customWidth="1"/>
    <col min="3" max="3" width="13" customWidth="1"/>
    <col min="4" max="4" width="12" customWidth="1"/>
    <col min="5" max="5" width="17" customWidth="1"/>
    <col min="6" max="7" width="12" customWidth="1"/>
    <col min="8" max="8" width="23" customWidth="1"/>
    <col min="9" max="9" width="22" customWidth="1"/>
    <col min="10" max="11" width="19" customWidth="1"/>
    <col min="12" max="12" width="24" customWidth="1"/>
    <col min="13" max="13" width="15" customWidth="1"/>
    <col min="14" max="19" width="28" customWidth="1"/>
    <col min="20" max="20" width="17" customWidth="1"/>
    <col min="21" max="23" width="13" hidden="1" customWidth="1"/>
  </cols>
  <sheetData>
    <row r="1" spans="1:23" ht="16.5" x14ac:dyDescent="0.25">
      <c r="A1" s="1"/>
    </row>
    <row r="2" spans="1:23" x14ac:dyDescent="0.25">
      <c r="A2" s="2"/>
    </row>
    <row r="3" spans="1:23" ht="38.25" x14ac:dyDescent="0.25">
      <c r="A3" s="3" t="s">
        <v>108</v>
      </c>
      <c r="B3" s="3" t="s">
        <v>107</v>
      </c>
      <c r="C3" s="3" t="s">
        <v>101</v>
      </c>
      <c r="D3" s="3" t="s">
        <v>1</v>
      </c>
      <c r="E3" s="3" t="s">
        <v>2</v>
      </c>
      <c r="F3" s="3" t="s">
        <v>109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103</v>
      </c>
      <c r="O3" s="3" t="s">
        <v>10</v>
      </c>
      <c r="P3" s="3" t="s">
        <v>104</v>
      </c>
      <c r="Q3" s="3" t="s">
        <v>102</v>
      </c>
      <c r="R3" s="3" t="s">
        <v>105</v>
      </c>
      <c r="S3" s="3" t="s">
        <v>106</v>
      </c>
      <c r="T3" s="3" t="s">
        <v>11</v>
      </c>
      <c r="U3" s="3" t="s">
        <v>12</v>
      </c>
      <c r="V3" s="3" t="s">
        <v>13</v>
      </c>
      <c r="W3" s="3" t="s">
        <v>14</v>
      </c>
    </row>
    <row r="4" spans="1:23" x14ac:dyDescent="0.25">
      <c r="A4" s="4"/>
      <c r="B4" s="4" t="s">
        <v>15</v>
      </c>
      <c r="C4" s="5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  <c r="N4" s="4"/>
      <c r="O4" s="4" t="s">
        <v>27</v>
      </c>
      <c r="P4" s="4" t="s">
        <v>28</v>
      </c>
      <c r="Q4" s="4"/>
      <c r="R4" s="4"/>
      <c r="S4" s="4"/>
      <c r="T4" s="6" t="s">
        <v>29</v>
      </c>
      <c r="U4" s="7">
        <f>IF($T4="Membership",COUNTIF($T$4:$T4,"Membership"),"")</f>
        <v>1</v>
      </c>
      <c r="V4" s="7" t="str">
        <f>IF($T4="MIT",COUNTIF($T$4:$T4,"MIT"),"")</f>
        <v/>
      </c>
      <c r="W4" s="7" t="str">
        <f>IF($T4="Proclaimers",COUNTIF($T$4:$T4,"Proclaimers"),"")</f>
        <v/>
      </c>
    </row>
    <row r="5" spans="1:23" x14ac:dyDescent="0.25">
      <c r="A5" s="4"/>
      <c r="B5" s="4" t="s">
        <v>30</v>
      </c>
      <c r="C5" s="5" t="s">
        <v>31</v>
      </c>
      <c r="D5" s="4" t="s">
        <v>32</v>
      </c>
      <c r="E5" s="4" t="s">
        <v>33</v>
      </c>
      <c r="F5" s="4" t="s">
        <v>34</v>
      </c>
      <c r="G5" s="4" t="s">
        <v>35</v>
      </c>
      <c r="H5" s="4" t="s">
        <v>36</v>
      </c>
      <c r="I5" s="4" t="s">
        <v>22</v>
      </c>
      <c r="J5" s="4" t="s">
        <v>37</v>
      </c>
      <c r="K5" s="4" t="s">
        <v>38</v>
      </c>
      <c r="L5" s="4" t="s">
        <v>25</v>
      </c>
      <c r="M5" s="4" t="s">
        <v>26</v>
      </c>
      <c r="N5" s="4"/>
      <c r="O5" s="4" t="s">
        <v>27</v>
      </c>
      <c r="P5" s="4" t="s">
        <v>28</v>
      </c>
      <c r="Q5" s="4"/>
      <c r="R5" s="4"/>
      <c r="S5" s="4"/>
      <c r="T5" s="6" t="s">
        <v>29</v>
      </c>
      <c r="U5" s="7">
        <f>IF($T5="Membership",COUNTIF($T$4:$T5,"Membership"),"")</f>
        <v>2</v>
      </c>
      <c r="V5" s="7" t="str">
        <f>IF($T5="MIT",COUNTIF($T$4:$T5,"MIT"),"")</f>
        <v/>
      </c>
      <c r="W5" s="7" t="str">
        <f>IF($T5="Proclaimers",COUNTIF($T$4:$T5,"Proclaimers"),"")</f>
        <v/>
      </c>
    </row>
    <row r="6" spans="1:23" x14ac:dyDescent="0.25">
      <c r="A6" s="4"/>
      <c r="B6" s="4" t="s">
        <v>39</v>
      </c>
      <c r="C6" s="5" t="s">
        <v>40</v>
      </c>
      <c r="D6" s="4" t="s">
        <v>17</v>
      </c>
      <c r="E6" s="10">
        <v>38889</v>
      </c>
      <c r="F6" s="4" t="s">
        <v>41</v>
      </c>
      <c r="G6" s="4" t="s">
        <v>42</v>
      </c>
      <c r="H6" s="4" t="s">
        <v>43</v>
      </c>
      <c r="I6" s="4" t="s">
        <v>22</v>
      </c>
      <c r="J6" s="4" t="s">
        <v>22</v>
      </c>
      <c r="K6" s="4" t="s">
        <v>44</v>
      </c>
      <c r="L6" s="4" t="s">
        <v>25</v>
      </c>
      <c r="M6" s="4" t="s">
        <v>26</v>
      </c>
      <c r="N6" s="4"/>
      <c r="O6" s="4" t="s">
        <v>27</v>
      </c>
      <c r="P6" s="4" t="s">
        <v>28</v>
      </c>
      <c r="Q6" s="4"/>
      <c r="R6" s="4"/>
      <c r="S6" s="4"/>
      <c r="T6" s="6" t="s">
        <v>45</v>
      </c>
      <c r="U6" s="7" t="str">
        <f>IF($T6="Membership",COUNTIF($T$4:$T6,"Membership"),"")</f>
        <v/>
      </c>
      <c r="V6" s="7">
        <f>IF($T6="MIT",COUNTIF($T$4:$T6,"MIT"),"")</f>
        <v>1</v>
      </c>
      <c r="W6" s="7" t="str">
        <f>IF($T6="Proclaimers",COUNTIF($T$4:$T6,"Proclaimers"),"")</f>
        <v/>
      </c>
    </row>
    <row r="7" spans="1:23" x14ac:dyDescent="0.25">
      <c r="A7" s="4"/>
      <c r="B7" s="4" t="s">
        <v>46</v>
      </c>
      <c r="C7" s="5" t="s">
        <v>47</v>
      </c>
      <c r="D7" s="4" t="s">
        <v>32</v>
      </c>
      <c r="E7" s="4" t="s">
        <v>48</v>
      </c>
      <c r="F7" s="4" t="s">
        <v>49</v>
      </c>
      <c r="G7" s="4" t="s">
        <v>50</v>
      </c>
      <c r="H7" s="4" t="s">
        <v>51</v>
      </c>
      <c r="I7" s="4" t="s">
        <v>22</v>
      </c>
      <c r="J7" s="4" t="s">
        <v>52</v>
      </c>
      <c r="K7" s="4" t="s">
        <v>53</v>
      </c>
      <c r="L7" s="4" t="s">
        <v>25</v>
      </c>
      <c r="M7" s="4" t="s">
        <v>26</v>
      </c>
      <c r="N7" s="4" t="s">
        <v>54</v>
      </c>
      <c r="O7" s="4" t="s">
        <v>27</v>
      </c>
      <c r="P7" s="4" t="s">
        <v>28</v>
      </c>
      <c r="Q7" s="4"/>
      <c r="R7" s="4"/>
      <c r="S7" s="4"/>
      <c r="T7" s="6" t="s">
        <v>45</v>
      </c>
      <c r="U7" s="7" t="str">
        <f>IF($T7="Membership",COUNTIF($T$4:$T7,"Membership"),"")</f>
        <v/>
      </c>
      <c r="V7" s="7">
        <f>IF($T7="MIT",COUNTIF($T$4:$T7,"MIT"),"")</f>
        <v>2</v>
      </c>
      <c r="W7" s="7" t="str">
        <f>IF($T7="Proclaimers",COUNTIF($T$4:$T7,"Proclaimers"),"")</f>
        <v/>
      </c>
    </row>
    <row r="8" spans="1:23" x14ac:dyDescent="0.25">
      <c r="A8" s="4"/>
      <c r="B8" s="4" t="s">
        <v>55</v>
      </c>
      <c r="C8" s="5" t="s">
        <v>56</v>
      </c>
      <c r="D8" s="4" t="s">
        <v>17</v>
      </c>
      <c r="E8" s="4" t="s">
        <v>57</v>
      </c>
      <c r="F8" s="4" t="s">
        <v>58</v>
      </c>
      <c r="G8" s="4" t="s">
        <v>59</v>
      </c>
      <c r="H8" s="4" t="s">
        <v>60</v>
      </c>
      <c r="I8" s="4" t="s">
        <v>22</v>
      </c>
      <c r="J8" s="4" t="s">
        <v>61</v>
      </c>
      <c r="K8" s="4" t="s">
        <v>62</v>
      </c>
      <c r="L8" s="4" t="s">
        <v>25</v>
      </c>
      <c r="M8" s="4" t="s">
        <v>26</v>
      </c>
      <c r="N8" s="4" t="s">
        <v>63</v>
      </c>
      <c r="O8" s="4" t="s">
        <v>27</v>
      </c>
      <c r="P8" s="4" t="s">
        <v>28</v>
      </c>
      <c r="Q8" s="4"/>
      <c r="R8" s="4"/>
      <c r="S8" s="4"/>
      <c r="T8" s="6" t="s">
        <v>64</v>
      </c>
      <c r="U8" s="7" t="str">
        <f>IF($T8="Membership",COUNTIF($T$4:$T8,"Membership"),"")</f>
        <v/>
      </c>
      <c r="V8" s="7" t="str">
        <f>IF($T8="MIT",COUNTIF($T$4:$T8,"MIT"),"")</f>
        <v/>
      </c>
      <c r="W8" s="7">
        <f>IF($T8="Proclaimers",COUNTIF($T$4:$T8,"Proclaimers"),"")</f>
        <v>1</v>
      </c>
    </row>
    <row r="9" spans="1:23" x14ac:dyDescent="0.25">
      <c r="A9" s="4"/>
      <c r="B9" s="4" t="s">
        <v>65</v>
      </c>
      <c r="C9" s="5" t="s">
        <v>66</v>
      </c>
      <c r="D9" s="4" t="s">
        <v>32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22</v>
      </c>
      <c r="J9" s="4" t="s">
        <v>71</v>
      </c>
      <c r="K9" s="4" t="s">
        <v>72</v>
      </c>
      <c r="L9" s="4" t="s">
        <v>25</v>
      </c>
      <c r="M9" s="4" t="s">
        <v>26</v>
      </c>
      <c r="N9" s="4" t="s">
        <v>54</v>
      </c>
      <c r="O9" s="4" t="s">
        <v>27</v>
      </c>
      <c r="P9" s="4" t="s">
        <v>28</v>
      </c>
      <c r="Q9" s="4"/>
      <c r="R9" s="4"/>
      <c r="S9" s="4"/>
      <c r="T9" s="6" t="s">
        <v>64</v>
      </c>
      <c r="U9" s="7" t="str">
        <f>IF($T9="Membership",COUNTIF($T$4:$T9,"Membership"),"")</f>
        <v/>
      </c>
      <c r="V9" s="7" t="str">
        <f>IF($T9="MIT",COUNTIF($T$4:$T9,"MIT"),"")</f>
        <v/>
      </c>
      <c r="W9" s="7">
        <f>IF($T9="Proclaimers",COUNTIF($T$4:$T9,"Proclaimers"),"")</f>
        <v>2</v>
      </c>
    </row>
    <row r="10" spans="1:23" x14ac:dyDescent="0.25">
      <c r="A10" s="4"/>
      <c r="B10" s="4"/>
      <c r="C10" s="5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6"/>
      <c r="U10" s="7" t="str">
        <f>IF($T10="Membership",COUNTIF($T$4:$T10,"Membership"),"")</f>
        <v/>
      </c>
      <c r="V10" s="7" t="str">
        <f>IF($T10="MIT",COUNTIF($T$4:$T10,"MIT"),"")</f>
        <v/>
      </c>
      <c r="W10" s="7" t="str">
        <f>IF($T10="Proclaimers",COUNTIF($T$4:$T10,"Proclaimers"),"")</f>
        <v/>
      </c>
    </row>
    <row r="11" spans="1:23" x14ac:dyDescent="0.25">
      <c r="A11" s="4"/>
      <c r="B11" s="4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6"/>
      <c r="U11" s="7" t="str">
        <f>IF($T11="Membership",COUNTIF($T$4:$T11,"Membership"),"")</f>
        <v/>
      </c>
      <c r="V11" s="7" t="str">
        <f>IF($T11="MIT",COUNTIF($T$4:$T11,"MIT"),"")</f>
        <v/>
      </c>
      <c r="W11" s="7" t="str">
        <f>IF($T11="Proclaimers",COUNTIF($T$4:$T11,"Proclaimers"),"")</f>
        <v/>
      </c>
    </row>
    <row r="12" spans="1:23" x14ac:dyDescent="0.25">
      <c r="A12" s="4"/>
      <c r="B12" s="4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6"/>
      <c r="U12" s="7" t="str">
        <f>IF($T12="Membership",COUNTIF($T$4:$T12,"Membership"),"")</f>
        <v/>
      </c>
      <c r="V12" s="7" t="str">
        <f>IF($T12="MIT",COUNTIF($T$4:$T12,"MIT"),"")</f>
        <v/>
      </c>
      <c r="W12" s="7" t="str">
        <f>IF($T12="Proclaimers",COUNTIF($T$4:$T12,"Proclaimers"),"")</f>
        <v/>
      </c>
    </row>
    <row r="13" spans="1:23" x14ac:dyDescent="0.25">
      <c r="A13" s="4"/>
      <c r="B13" s="4"/>
      <c r="C13" s="5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6"/>
      <c r="U13" s="7" t="str">
        <f>IF($T13="Membership",COUNTIF($T$4:$T13,"Membership"),"")</f>
        <v/>
      </c>
      <c r="V13" s="7" t="str">
        <f>IF($T13="MIT",COUNTIF($T$4:$T13,"MIT"),"")</f>
        <v/>
      </c>
      <c r="W13" s="7" t="str">
        <f>IF($T13="Proclaimers",COUNTIF($T$4:$T13,"Proclaimers"),"")</f>
        <v/>
      </c>
    </row>
    <row r="14" spans="1:23" x14ac:dyDescent="0.25">
      <c r="A14" s="4"/>
      <c r="B14" s="4"/>
      <c r="C14" s="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6"/>
      <c r="U14" s="7" t="str">
        <f>IF($T14="Membership",COUNTIF($T$4:$T14,"Membership"),"")</f>
        <v/>
      </c>
      <c r="V14" s="7" t="str">
        <f>IF($T14="MIT",COUNTIF($T$4:$T14,"MIT"),"")</f>
        <v/>
      </c>
      <c r="W14" s="7" t="str">
        <f>IF($T14="Proclaimers",COUNTIF($T$4:$T14,"Proclaimers"),"")</f>
        <v/>
      </c>
    </row>
    <row r="15" spans="1:23" x14ac:dyDescent="0.25">
      <c r="A15" s="4"/>
      <c r="B15" s="4"/>
      <c r="C15" s="5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6"/>
      <c r="U15" s="7" t="str">
        <f>IF($T15="Membership",COUNTIF($T$4:$T15,"Membership"),"")</f>
        <v/>
      </c>
      <c r="V15" s="7" t="str">
        <f>IF($T15="MIT",COUNTIF($T$4:$T15,"MIT"),"")</f>
        <v/>
      </c>
      <c r="W15" s="7" t="str">
        <f>IF($T15="Proclaimers",COUNTIF($T$4:$T15,"Proclaimers"),"")</f>
        <v/>
      </c>
    </row>
    <row r="16" spans="1:23" x14ac:dyDescent="0.25">
      <c r="A16" s="4"/>
      <c r="B16" s="4"/>
      <c r="C16" s="5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6"/>
      <c r="U16" s="7" t="str">
        <f>IF($T16="Membership",COUNTIF($T$4:$T16,"Membership"),"")</f>
        <v/>
      </c>
      <c r="V16" s="7" t="str">
        <f>IF($T16="MIT",COUNTIF($T$4:$T16,"MIT"),"")</f>
        <v/>
      </c>
      <c r="W16" s="7" t="str">
        <f>IF($T16="Proclaimers",COUNTIF($T$4:$T16,"Proclaimers"),"")</f>
        <v/>
      </c>
    </row>
    <row r="17" spans="1:23" x14ac:dyDescent="0.25">
      <c r="A17" s="4"/>
      <c r="B17" s="4"/>
      <c r="C17" s="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6"/>
      <c r="U17" s="7" t="str">
        <f>IF($T17="Membership",COUNTIF($T$4:$T17,"Membership"),"")</f>
        <v/>
      </c>
      <c r="V17" s="7" t="str">
        <f>IF($T17="MIT",COUNTIF($T$4:$T17,"MIT"),"")</f>
        <v/>
      </c>
      <c r="W17" s="7" t="str">
        <f>IF($T17="Proclaimers",COUNTIF($T$4:$T17,"Proclaimers"),"")</f>
        <v/>
      </c>
    </row>
    <row r="18" spans="1:23" x14ac:dyDescent="0.25">
      <c r="A18" s="4"/>
      <c r="B18" s="4"/>
      <c r="C18" s="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6"/>
      <c r="U18" s="7" t="str">
        <f>IF($T18="Membership",COUNTIF($T$4:$T18,"Membership"),"")</f>
        <v/>
      </c>
      <c r="V18" s="7" t="str">
        <f>IF($T18="MIT",COUNTIF($T$4:$T18,"MIT"),"")</f>
        <v/>
      </c>
      <c r="W18" s="7" t="str">
        <f>IF($T18="Proclaimers",COUNTIF($T$4:$T18,"Proclaimers"),"")</f>
        <v/>
      </c>
    </row>
    <row r="19" spans="1:23" x14ac:dyDescent="0.25">
      <c r="A19" s="4"/>
      <c r="B19" s="4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6"/>
      <c r="U19" s="7" t="str">
        <f>IF($T19="Membership",COUNTIF($T$4:$T19,"Membership"),"")</f>
        <v/>
      </c>
      <c r="V19" s="7" t="str">
        <f>IF($T19="MIT",COUNTIF($T$4:$T19,"MIT"),"")</f>
        <v/>
      </c>
      <c r="W19" s="7" t="str">
        <f>IF($T19="Proclaimers",COUNTIF($T$4:$T19,"Proclaimers"),"")</f>
        <v/>
      </c>
    </row>
    <row r="20" spans="1:23" x14ac:dyDescent="0.25">
      <c r="A20" s="4"/>
      <c r="B20" s="4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6"/>
      <c r="U20" s="7" t="str">
        <f>IF($T20="Membership",COUNTIF($T$4:$T20,"Membership"),"")</f>
        <v/>
      </c>
      <c r="V20" s="7" t="str">
        <f>IF($T20="MIT",COUNTIF($T$4:$T20,"MIT"),"")</f>
        <v/>
      </c>
      <c r="W20" s="7" t="str">
        <f>IF($T20="Proclaimers",COUNTIF($T$4:$T20,"Proclaimers"),"")</f>
        <v/>
      </c>
    </row>
    <row r="21" spans="1:23" x14ac:dyDescent="0.25">
      <c r="A21" s="4"/>
      <c r="B21" s="4"/>
      <c r="C21" s="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6"/>
      <c r="U21" s="7" t="str">
        <f>IF($T21="Membership",COUNTIF($T$4:$T21,"Membership"),"")</f>
        <v/>
      </c>
      <c r="V21" s="7" t="str">
        <f>IF($T21="MIT",COUNTIF($T$4:$T21,"MIT"),"")</f>
        <v/>
      </c>
      <c r="W21" s="7" t="str">
        <f>IF($T21="Proclaimers",COUNTIF($T$4:$T21,"Proclaimers"),"")</f>
        <v/>
      </c>
    </row>
    <row r="22" spans="1:23" x14ac:dyDescent="0.25">
      <c r="A22" s="4"/>
      <c r="B22" s="4"/>
      <c r="C22" s="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6"/>
      <c r="U22" s="7" t="str">
        <f>IF($T22="Membership",COUNTIF($T$4:$T22,"Membership"),"")</f>
        <v/>
      </c>
      <c r="V22" s="7" t="str">
        <f>IF($T22="MIT",COUNTIF($T$4:$T22,"MIT"),"")</f>
        <v/>
      </c>
      <c r="W22" s="7" t="str">
        <f>IF($T22="Proclaimers",COUNTIF($T$4:$T22,"Proclaimers"),"")</f>
        <v/>
      </c>
    </row>
    <row r="23" spans="1:23" x14ac:dyDescent="0.25">
      <c r="A23" s="4"/>
      <c r="B23" s="4"/>
      <c r="C23" s="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6"/>
      <c r="U23" s="7" t="str">
        <f>IF($T23="Membership",COUNTIF($T$4:$T23,"Membership"),"")</f>
        <v/>
      </c>
      <c r="V23" s="7" t="str">
        <f>IF($T23="MIT",COUNTIF($T$4:$T23,"MIT"),"")</f>
        <v/>
      </c>
      <c r="W23" s="7" t="str">
        <f>IF($T23="Proclaimers",COUNTIF($T$4:$T23,"Proclaimers"),"")</f>
        <v/>
      </c>
    </row>
    <row r="24" spans="1:23" x14ac:dyDescent="0.25">
      <c r="A24" s="4"/>
      <c r="B24" s="4"/>
      <c r="C24" s="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6"/>
      <c r="U24" s="7" t="str">
        <f>IF($T24="Membership",COUNTIF($T$4:$T24,"Membership"),"")</f>
        <v/>
      </c>
      <c r="V24" s="7" t="str">
        <f>IF($T24="MIT",COUNTIF($T$4:$T24,"MIT"),"")</f>
        <v/>
      </c>
      <c r="W24" s="7" t="str">
        <f>IF($T24="Proclaimers",COUNTIF($T$4:$T24,"Proclaimers"),"")</f>
        <v/>
      </c>
    </row>
    <row r="25" spans="1:23" x14ac:dyDescent="0.25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6"/>
      <c r="U25" s="7" t="str">
        <f>IF($T25="Membership",COUNTIF($T$4:$T25,"Membership"),"")</f>
        <v/>
      </c>
      <c r="V25" s="7" t="str">
        <f>IF($T25="MIT",COUNTIF($T$4:$T25,"MIT"),"")</f>
        <v/>
      </c>
      <c r="W25" s="7" t="str">
        <f>IF($T25="Proclaimers",COUNTIF($T$4:$T25,"Proclaimers"),"")</f>
        <v/>
      </c>
    </row>
    <row r="26" spans="1:23" x14ac:dyDescent="0.25">
      <c r="A26" s="4"/>
      <c r="B26" s="4"/>
      <c r="C26" s="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"/>
      <c r="U26" s="7" t="str">
        <f>IF($T26="Membership",COUNTIF($T$4:$T26,"Membership"),"")</f>
        <v/>
      </c>
      <c r="V26" s="7" t="str">
        <f>IF($T26="MIT",COUNTIF($T$4:$T26,"MIT"),"")</f>
        <v/>
      </c>
      <c r="W26" s="7" t="str">
        <f>IF($T26="Proclaimers",COUNTIF($T$4:$T26,"Proclaimers"),"")</f>
        <v/>
      </c>
    </row>
    <row r="27" spans="1:23" x14ac:dyDescent="0.25">
      <c r="A27" s="4"/>
      <c r="B27" s="4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6"/>
      <c r="U27" s="7" t="str">
        <f>IF($T27="Membership",COUNTIF($T$4:$T27,"Membership"),"")</f>
        <v/>
      </c>
      <c r="V27" s="7" t="str">
        <f>IF($T27="MIT",COUNTIF($T$4:$T27,"MIT"),"")</f>
        <v/>
      </c>
      <c r="W27" s="7" t="str">
        <f>IF($T27="Proclaimers",COUNTIF($T$4:$T27,"Proclaimers"),"")</f>
        <v/>
      </c>
    </row>
    <row r="28" spans="1:23" x14ac:dyDescent="0.25">
      <c r="A28" s="4"/>
      <c r="B28" s="4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6"/>
      <c r="U28" s="7" t="str">
        <f>IF($T28="Membership",COUNTIF($T$4:$T28,"Membership"),"")</f>
        <v/>
      </c>
      <c r="V28" s="7" t="str">
        <f>IF($T28="MIT",COUNTIF($T$4:$T28,"MIT"),"")</f>
        <v/>
      </c>
      <c r="W28" s="7" t="str">
        <f>IF($T28="Proclaimers",COUNTIF($T$4:$T28,"Proclaimers"),"")</f>
        <v/>
      </c>
    </row>
  </sheetData>
  <sheetProtection formatCells="0" formatColumns="0" formatRows="0" insertColumns="0" insertRows="0" deleteColumns="0" deleteRows="0" selectLockedCells="1" selectUnlockedCells="1"/>
  <dataValidations count="1">
    <dataValidation type="list" allowBlank="1" errorTitle="Invalid class" error="Choose one: Membership, MIT, or Proclaimers." sqref="T4:T28" xr:uid="{00000000-0002-0000-0100-000000000000}">
      <formula1>"Membership,MIT,Proclaimers"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topLeftCell="M1" zoomScaleNormal="100" workbookViewId="0">
      <selection activeCell="A3" sqref="A3"/>
    </sheetView>
  </sheetViews>
  <sheetFormatPr defaultColWidth="8.7109375" defaultRowHeight="15" x14ac:dyDescent="0.25"/>
  <cols>
    <col min="1" max="1" width="12" customWidth="1"/>
    <col min="2" max="2" width="23" customWidth="1"/>
    <col min="3" max="3" width="15" customWidth="1"/>
    <col min="4" max="4" width="12" customWidth="1"/>
    <col min="5" max="5" width="14" customWidth="1"/>
    <col min="6" max="6" width="12" customWidth="1"/>
    <col min="7" max="8" width="14" customWidth="1"/>
    <col min="9" max="9" width="16" customWidth="1"/>
    <col min="10" max="10" width="12" customWidth="1"/>
    <col min="11" max="11" width="16" customWidth="1"/>
    <col min="12" max="12" width="19" customWidth="1"/>
    <col min="13" max="13" width="25" customWidth="1"/>
    <col min="14" max="15" width="12" customWidth="1"/>
    <col min="16" max="16" width="17" customWidth="1"/>
    <col min="17" max="17" width="24" customWidth="1"/>
    <col min="18" max="18" width="19" customWidth="1"/>
  </cols>
  <sheetData>
    <row r="1" spans="1:20" ht="16.5" x14ac:dyDescent="0.25">
      <c r="A1" s="1" t="s">
        <v>73</v>
      </c>
    </row>
    <row r="2" spans="1:20" x14ac:dyDescent="0.25">
      <c r="A2" s="2" t="s">
        <v>0</v>
      </c>
    </row>
    <row r="3" spans="1:20" ht="51" x14ac:dyDescent="0.25">
      <c r="A3" s="3" t="s">
        <v>112</v>
      </c>
      <c r="B3" s="3" t="s">
        <v>110</v>
      </c>
      <c r="C3" s="3" t="s">
        <v>111</v>
      </c>
      <c r="D3" s="3" t="s">
        <v>74</v>
      </c>
      <c r="E3" s="3" t="s">
        <v>75</v>
      </c>
      <c r="F3" s="3" t="s">
        <v>76</v>
      </c>
      <c r="G3" s="3" t="s">
        <v>77</v>
      </c>
      <c r="H3" s="3" t="s">
        <v>78</v>
      </c>
      <c r="I3" s="3" t="s">
        <v>79</v>
      </c>
      <c r="J3" s="3" t="s">
        <v>80</v>
      </c>
      <c r="K3" s="3" t="s">
        <v>81</v>
      </c>
      <c r="L3" s="3" t="s">
        <v>82</v>
      </c>
      <c r="M3" s="3" t="s">
        <v>83</v>
      </c>
      <c r="N3" s="3" t="s">
        <v>84</v>
      </c>
      <c r="O3" s="3" t="s">
        <v>85</v>
      </c>
      <c r="P3" s="3" t="s">
        <v>87</v>
      </c>
      <c r="Q3" s="3" t="s">
        <v>88</v>
      </c>
      <c r="R3" s="3" t="s">
        <v>113</v>
      </c>
      <c r="S3" s="3" t="s">
        <v>114</v>
      </c>
      <c r="T3" s="3" t="s">
        <v>86</v>
      </c>
    </row>
    <row r="4" spans="1:20" x14ac:dyDescent="0.25">
      <c r="A4" s="7" t="str">
        <f>IFERROR(INDEX(Students!#REF!,MATCH(1,Students!$U$4:$U$28,0)),"")</f>
        <v/>
      </c>
      <c r="B4" s="7" t="str">
        <f>IFERROR(INDEX(Students!$C$4:$C$28,MATCH(1,Students!$U$4:$U$28,0)),"")</f>
        <v>SAMPLE STUDENT ONE</v>
      </c>
      <c r="C4" s="4"/>
      <c r="D4" s="4"/>
      <c r="E4" s="5"/>
      <c r="F4" s="5"/>
      <c r="G4" s="5"/>
      <c r="H4" s="7">
        <f t="shared" ref="H4:H28" si="0">SUM(E4:G4)</f>
        <v>0</v>
      </c>
      <c r="I4" s="5"/>
      <c r="J4" s="5"/>
      <c r="K4" s="7">
        <f t="shared" ref="K4:K28" si="1">SUM(H4:J4)</f>
        <v>0</v>
      </c>
      <c r="L4" s="4"/>
      <c r="M4" s="4"/>
      <c r="N4" s="4"/>
      <c r="O4" s="4"/>
      <c r="P4" s="4"/>
      <c r="Q4" s="4"/>
      <c r="R4" s="4"/>
    </row>
    <row r="5" spans="1:20" x14ac:dyDescent="0.25">
      <c r="A5" s="7" t="str">
        <f>IFERROR(INDEX(Students!#REF!,MATCH(2,Students!$U$4:$U$28,0)),"")</f>
        <v/>
      </c>
      <c r="B5" s="7" t="str">
        <f>IFERROR(INDEX(Students!$C$4:$C$28,MATCH(2,Students!$U$4:$U$28,0)),"")</f>
        <v>SAMPLE STUDENT TWO</v>
      </c>
      <c r="C5" s="4"/>
      <c r="D5" s="4"/>
      <c r="E5" s="5"/>
      <c r="F5" s="5"/>
      <c r="G5" s="5"/>
      <c r="H5" s="7">
        <f t="shared" si="0"/>
        <v>0</v>
      </c>
      <c r="I5" s="5"/>
      <c r="J5" s="5"/>
      <c r="K5" s="7">
        <f t="shared" si="1"/>
        <v>0</v>
      </c>
      <c r="L5" s="4"/>
      <c r="M5" s="4"/>
      <c r="N5" s="4"/>
      <c r="O5" s="4"/>
      <c r="P5" s="4"/>
      <c r="Q5" s="4"/>
      <c r="R5" s="4"/>
    </row>
    <row r="6" spans="1:20" x14ac:dyDescent="0.25">
      <c r="A6" s="7" t="str">
        <f>IFERROR(INDEX(Students!#REF!,MATCH(3,Students!$U$4:$U$28,0)),"")</f>
        <v/>
      </c>
      <c r="B6" s="7" t="str">
        <f>IFERROR(INDEX(Students!$C$4:$C$28,MATCH(3,Students!$U$4:$U$28,0)),"")</f>
        <v/>
      </c>
      <c r="C6" s="4"/>
      <c r="D6" s="4"/>
      <c r="E6" s="5"/>
      <c r="F6" s="5"/>
      <c r="G6" s="5"/>
      <c r="H6" s="7">
        <f t="shared" si="0"/>
        <v>0</v>
      </c>
      <c r="I6" s="5"/>
      <c r="J6" s="5"/>
      <c r="K6" s="7">
        <f t="shared" si="1"/>
        <v>0</v>
      </c>
      <c r="L6" s="4"/>
      <c r="M6" s="4"/>
      <c r="N6" s="4"/>
      <c r="O6" s="4"/>
      <c r="P6" s="4"/>
      <c r="Q6" s="4"/>
      <c r="R6" s="4"/>
    </row>
    <row r="7" spans="1:20" x14ac:dyDescent="0.25">
      <c r="A7" s="7" t="str">
        <f>IFERROR(INDEX(Students!#REF!,MATCH(4,Students!$U$4:$U$28,0)),"")</f>
        <v/>
      </c>
      <c r="B7" s="7" t="str">
        <f>IFERROR(INDEX(Students!$C$4:$C$28,MATCH(4,Students!$U$4:$U$28,0)),"")</f>
        <v/>
      </c>
      <c r="C7" s="4"/>
      <c r="D7" s="4"/>
      <c r="E7" s="5"/>
      <c r="F7" s="5"/>
      <c r="G7" s="5"/>
      <c r="H7" s="7">
        <f t="shared" si="0"/>
        <v>0</v>
      </c>
      <c r="I7" s="5"/>
      <c r="J7" s="5"/>
      <c r="K7" s="7">
        <f t="shared" si="1"/>
        <v>0</v>
      </c>
      <c r="L7" s="4"/>
      <c r="M7" s="4"/>
      <c r="N7" s="4"/>
      <c r="O7" s="4"/>
      <c r="P7" s="4"/>
      <c r="Q7" s="4"/>
      <c r="R7" s="4"/>
    </row>
    <row r="8" spans="1:20" x14ac:dyDescent="0.25">
      <c r="A8" s="7" t="str">
        <f>IFERROR(INDEX(Students!#REF!,MATCH(5,Students!$U$4:$U$28,0)),"")</f>
        <v/>
      </c>
      <c r="B8" s="7" t="str">
        <f>IFERROR(INDEX(Students!$C$4:$C$28,MATCH(5,Students!$U$4:$U$28,0)),"")</f>
        <v/>
      </c>
      <c r="C8" s="4"/>
      <c r="D8" s="4"/>
      <c r="E8" s="5"/>
      <c r="F8" s="5"/>
      <c r="G8" s="5"/>
      <c r="H8" s="7">
        <f t="shared" si="0"/>
        <v>0</v>
      </c>
      <c r="I8" s="5"/>
      <c r="J8" s="5"/>
      <c r="K8" s="7">
        <f t="shared" si="1"/>
        <v>0</v>
      </c>
      <c r="L8" s="4"/>
      <c r="M8" s="4"/>
      <c r="N8" s="4"/>
      <c r="O8" s="4"/>
      <c r="P8" s="4"/>
      <c r="Q8" s="4"/>
      <c r="R8" s="4"/>
    </row>
    <row r="9" spans="1:20" x14ac:dyDescent="0.25">
      <c r="A9" s="7" t="str">
        <f>IFERROR(INDEX(Students!#REF!,MATCH(6,Students!$U$4:$U$28,0)),"")</f>
        <v/>
      </c>
      <c r="B9" s="7" t="str">
        <f>IFERROR(INDEX(Students!$C$4:$C$28,MATCH(6,Students!$U$4:$U$28,0)),"")</f>
        <v/>
      </c>
      <c r="C9" s="4"/>
      <c r="D9" s="4"/>
      <c r="E9" s="5"/>
      <c r="F9" s="5"/>
      <c r="G9" s="5"/>
      <c r="H9" s="7">
        <f t="shared" si="0"/>
        <v>0</v>
      </c>
      <c r="I9" s="5"/>
      <c r="J9" s="5"/>
      <c r="K9" s="7">
        <f t="shared" si="1"/>
        <v>0</v>
      </c>
      <c r="L9" s="4"/>
      <c r="M9" s="4"/>
      <c r="N9" s="4"/>
      <c r="O9" s="4"/>
      <c r="P9" s="4"/>
      <c r="Q9" s="4"/>
      <c r="R9" s="4"/>
    </row>
    <row r="10" spans="1:20" x14ac:dyDescent="0.25">
      <c r="A10" s="7" t="str">
        <f>IFERROR(INDEX(Students!#REF!,MATCH(7,Students!$U$4:$U$28,0)),"")</f>
        <v/>
      </c>
      <c r="B10" s="7" t="str">
        <f>IFERROR(INDEX(Students!$C$4:$C$28,MATCH(7,Students!$U$4:$U$28,0)),"")</f>
        <v/>
      </c>
      <c r="C10" s="4"/>
      <c r="D10" s="4"/>
      <c r="E10" s="5"/>
      <c r="F10" s="5"/>
      <c r="G10" s="5"/>
      <c r="H10" s="7">
        <f t="shared" si="0"/>
        <v>0</v>
      </c>
      <c r="I10" s="5"/>
      <c r="J10" s="5"/>
      <c r="K10" s="7">
        <f t="shared" si="1"/>
        <v>0</v>
      </c>
      <c r="L10" s="4"/>
      <c r="M10" s="4"/>
      <c r="N10" s="4"/>
      <c r="O10" s="4"/>
      <c r="P10" s="4"/>
      <c r="Q10" s="4"/>
      <c r="R10" s="4"/>
    </row>
    <row r="11" spans="1:20" x14ac:dyDescent="0.25">
      <c r="A11" s="7" t="str">
        <f>IFERROR(INDEX(Students!#REF!,MATCH(8,Students!$U$4:$U$28,0)),"")</f>
        <v/>
      </c>
      <c r="B11" s="7" t="str">
        <f>IFERROR(INDEX(Students!$C$4:$C$28,MATCH(8,Students!$U$4:$U$28,0)),"")</f>
        <v/>
      </c>
      <c r="C11" s="4"/>
      <c r="D11" s="4"/>
      <c r="E11" s="5"/>
      <c r="F11" s="5"/>
      <c r="G11" s="5"/>
      <c r="H11" s="7">
        <f t="shared" si="0"/>
        <v>0</v>
      </c>
      <c r="I11" s="5"/>
      <c r="J11" s="5"/>
      <c r="K11" s="7">
        <f t="shared" si="1"/>
        <v>0</v>
      </c>
      <c r="L11" s="4"/>
      <c r="M11" s="4"/>
      <c r="N11" s="4"/>
      <c r="O11" s="4"/>
      <c r="P11" s="4"/>
      <c r="Q11" s="4"/>
      <c r="R11" s="4"/>
    </row>
    <row r="12" spans="1:20" x14ac:dyDescent="0.25">
      <c r="A12" s="7" t="str">
        <f>IFERROR(INDEX(Students!#REF!,MATCH(9,Students!$U$4:$U$28,0)),"")</f>
        <v/>
      </c>
      <c r="B12" s="7" t="str">
        <f>IFERROR(INDEX(Students!$C$4:$C$28,MATCH(9,Students!$U$4:$U$28,0)),"")</f>
        <v/>
      </c>
      <c r="C12" s="4"/>
      <c r="D12" s="4"/>
      <c r="E12" s="5"/>
      <c r="F12" s="5"/>
      <c r="G12" s="5"/>
      <c r="H12" s="7">
        <f t="shared" si="0"/>
        <v>0</v>
      </c>
      <c r="I12" s="5"/>
      <c r="J12" s="5"/>
      <c r="K12" s="7">
        <f t="shared" si="1"/>
        <v>0</v>
      </c>
      <c r="L12" s="4"/>
      <c r="M12" s="4"/>
      <c r="N12" s="4"/>
      <c r="O12" s="4"/>
      <c r="P12" s="4"/>
      <c r="Q12" s="4"/>
      <c r="R12" s="4"/>
    </row>
    <row r="13" spans="1:20" x14ac:dyDescent="0.25">
      <c r="A13" s="7" t="str">
        <f>IFERROR(INDEX(Students!#REF!,MATCH(10,Students!$U$4:$U$28,0)),"")</f>
        <v/>
      </c>
      <c r="B13" s="7" t="str">
        <f>IFERROR(INDEX(Students!$C$4:$C$28,MATCH(10,Students!$U$4:$U$28,0)),"")</f>
        <v/>
      </c>
      <c r="C13" s="4"/>
      <c r="D13" s="4"/>
      <c r="E13" s="5"/>
      <c r="F13" s="5"/>
      <c r="G13" s="5"/>
      <c r="H13" s="7">
        <f t="shared" si="0"/>
        <v>0</v>
      </c>
      <c r="I13" s="5"/>
      <c r="J13" s="5"/>
      <c r="K13" s="7">
        <f t="shared" si="1"/>
        <v>0</v>
      </c>
      <c r="L13" s="4"/>
      <c r="M13" s="4"/>
      <c r="N13" s="4"/>
      <c r="O13" s="4"/>
      <c r="P13" s="4"/>
      <c r="Q13" s="4"/>
      <c r="R13" s="4"/>
    </row>
    <row r="14" spans="1:20" x14ac:dyDescent="0.25">
      <c r="A14" s="7" t="str">
        <f>IFERROR(INDEX(Students!#REF!,MATCH(11,Students!$U$4:$U$28,0)),"")</f>
        <v/>
      </c>
      <c r="B14" s="7" t="str">
        <f>IFERROR(INDEX(Students!$C$4:$C$28,MATCH(11,Students!$U$4:$U$28,0)),"")</f>
        <v/>
      </c>
      <c r="C14" s="4"/>
      <c r="D14" s="4"/>
      <c r="E14" s="5"/>
      <c r="F14" s="5"/>
      <c r="G14" s="5"/>
      <c r="H14" s="7">
        <f t="shared" si="0"/>
        <v>0</v>
      </c>
      <c r="I14" s="5"/>
      <c r="J14" s="5"/>
      <c r="K14" s="7">
        <f t="shared" si="1"/>
        <v>0</v>
      </c>
      <c r="L14" s="4"/>
      <c r="M14" s="4"/>
      <c r="N14" s="4"/>
      <c r="O14" s="4"/>
      <c r="P14" s="4"/>
      <c r="Q14" s="4"/>
      <c r="R14" s="4"/>
    </row>
    <row r="15" spans="1:20" x14ac:dyDescent="0.25">
      <c r="A15" s="7" t="str">
        <f>IFERROR(INDEX(Students!#REF!,MATCH(12,Students!$U$4:$U$28,0)),"")</f>
        <v/>
      </c>
      <c r="B15" s="7" t="str">
        <f>IFERROR(INDEX(Students!$C$4:$C$28,MATCH(12,Students!$U$4:$U$28,0)),"")</f>
        <v/>
      </c>
      <c r="C15" s="4"/>
      <c r="D15" s="4"/>
      <c r="E15" s="5"/>
      <c r="F15" s="5"/>
      <c r="G15" s="5"/>
      <c r="H15" s="7">
        <f t="shared" si="0"/>
        <v>0</v>
      </c>
      <c r="I15" s="5"/>
      <c r="J15" s="5"/>
      <c r="K15" s="7">
        <f t="shared" si="1"/>
        <v>0</v>
      </c>
      <c r="L15" s="4"/>
      <c r="M15" s="4"/>
      <c r="N15" s="4"/>
      <c r="O15" s="4"/>
      <c r="P15" s="4"/>
      <c r="Q15" s="4"/>
      <c r="R15" s="4"/>
    </row>
    <row r="16" spans="1:20" x14ac:dyDescent="0.25">
      <c r="A16" s="7" t="str">
        <f>IFERROR(INDEX(Students!#REF!,MATCH(13,Students!$U$4:$U$28,0)),"")</f>
        <v/>
      </c>
      <c r="B16" s="7" t="str">
        <f>IFERROR(INDEX(Students!$C$4:$C$28,MATCH(13,Students!$U$4:$U$28,0)),"")</f>
        <v/>
      </c>
      <c r="C16" s="4"/>
      <c r="D16" s="4"/>
      <c r="E16" s="5"/>
      <c r="F16" s="5"/>
      <c r="G16" s="5"/>
      <c r="H16" s="7">
        <f t="shared" si="0"/>
        <v>0</v>
      </c>
      <c r="I16" s="5"/>
      <c r="J16" s="5"/>
      <c r="K16" s="7">
        <f t="shared" si="1"/>
        <v>0</v>
      </c>
      <c r="L16" s="4"/>
      <c r="M16" s="4"/>
      <c r="N16" s="4"/>
      <c r="O16" s="4"/>
      <c r="P16" s="4"/>
      <c r="Q16" s="4"/>
      <c r="R16" s="4"/>
    </row>
    <row r="17" spans="1:18" x14ac:dyDescent="0.25">
      <c r="A17" s="7" t="str">
        <f>IFERROR(INDEX(Students!#REF!,MATCH(14,Students!$U$4:$U$28,0)),"")</f>
        <v/>
      </c>
      <c r="B17" s="7" t="str">
        <f>IFERROR(INDEX(Students!$C$4:$C$28,MATCH(14,Students!$U$4:$U$28,0)),"")</f>
        <v/>
      </c>
      <c r="C17" s="4"/>
      <c r="D17" s="4"/>
      <c r="E17" s="5"/>
      <c r="F17" s="5"/>
      <c r="G17" s="5"/>
      <c r="H17" s="7">
        <f t="shared" si="0"/>
        <v>0</v>
      </c>
      <c r="I17" s="5"/>
      <c r="J17" s="5"/>
      <c r="K17" s="7">
        <f t="shared" si="1"/>
        <v>0</v>
      </c>
      <c r="L17" s="4"/>
      <c r="M17" s="4"/>
      <c r="N17" s="4"/>
      <c r="O17" s="4"/>
      <c r="P17" s="4"/>
      <c r="Q17" s="4"/>
      <c r="R17" s="4"/>
    </row>
    <row r="18" spans="1:18" x14ac:dyDescent="0.25">
      <c r="A18" s="7" t="str">
        <f>IFERROR(INDEX(Students!#REF!,MATCH(15,Students!$U$4:$U$28,0)),"")</f>
        <v/>
      </c>
      <c r="B18" s="7" t="str">
        <f>IFERROR(INDEX(Students!$C$4:$C$28,MATCH(15,Students!$U$4:$U$28,0)),"")</f>
        <v/>
      </c>
      <c r="C18" s="4"/>
      <c r="D18" s="4"/>
      <c r="E18" s="5"/>
      <c r="F18" s="5"/>
      <c r="G18" s="5"/>
      <c r="H18" s="7">
        <f t="shared" si="0"/>
        <v>0</v>
      </c>
      <c r="I18" s="5"/>
      <c r="J18" s="5"/>
      <c r="K18" s="7">
        <f t="shared" si="1"/>
        <v>0</v>
      </c>
      <c r="L18" s="4"/>
      <c r="M18" s="4"/>
      <c r="N18" s="4"/>
      <c r="O18" s="4"/>
      <c r="P18" s="4"/>
      <c r="Q18" s="4"/>
      <c r="R18" s="4"/>
    </row>
    <row r="19" spans="1:18" x14ac:dyDescent="0.25">
      <c r="A19" s="7" t="str">
        <f>IFERROR(INDEX(Students!#REF!,MATCH(16,Students!$U$4:$U$28,0)),"")</f>
        <v/>
      </c>
      <c r="B19" s="7" t="str">
        <f>IFERROR(INDEX(Students!$C$4:$C$28,MATCH(16,Students!$U$4:$U$28,0)),"")</f>
        <v/>
      </c>
      <c r="C19" s="4"/>
      <c r="D19" s="4"/>
      <c r="E19" s="5"/>
      <c r="F19" s="5"/>
      <c r="G19" s="5"/>
      <c r="H19" s="7">
        <f t="shared" si="0"/>
        <v>0</v>
      </c>
      <c r="I19" s="5"/>
      <c r="J19" s="5"/>
      <c r="K19" s="7">
        <f t="shared" si="1"/>
        <v>0</v>
      </c>
      <c r="L19" s="4"/>
      <c r="M19" s="4"/>
      <c r="N19" s="4"/>
      <c r="O19" s="4"/>
      <c r="P19" s="4"/>
      <c r="Q19" s="4"/>
      <c r="R19" s="4"/>
    </row>
    <row r="20" spans="1:18" x14ac:dyDescent="0.25">
      <c r="A20" s="7" t="str">
        <f>IFERROR(INDEX(Students!#REF!,MATCH(17,Students!$U$4:$U$28,0)),"")</f>
        <v/>
      </c>
      <c r="B20" s="7" t="str">
        <f>IFERROR(INDEX(Students!$C$4:$C$28,MATCH(17,Students!$U$4:$U$28,0)),"")</f>
        <v/>
      </c>
      <c r="C20" s="4"/>
      <c r="D20" s="4"/>
      <c r="E20" s="5"/>
      <c r="F20" s="5"/>
      <c r="G20" s="5"/>
      <c r="H20" s="7">
        <f t="shared" si="0"/>
        <v>0</v>
      </c>
      <c r="I20" s="5"/>
      <c r="J20" s="5"/>
      <c r="K20" s="7">
        <f t="shared" si="1"/>
        <v>0</v>
      </c>
      <c r="L20" s="4"/>
      <c r="M20" s="4"/>
      <c r="N20" s="4"/>
      <c r="O20" s="4"/>
      <c r="P20" s="4"/>
      <c r="Q20" s="4"/>
      <c r="R20" s="4"/>
    </row>
    <row r="21" spans="1:18" x14ac:dyDescent="0.25">
      <c r="A21" s="7" t="str">
        <f>IFERROR(INDEX(Students!#REF!,MATCH(18,Students!$U$4:$U$28,0)),"")</f>
        <v/>
      </c>
      <c r="B21" s="7" t="str">
        <f>IFERROR(INDEX(Students!$C$4:$C$28,MATCH(18,Students!$U$4:$U$28,0)),"")</f>
        <v/>
      </c>
      <c r="C21" s="4"/>
      <c r="D21" s="4"/>
      <c r="E21" s="5"/>
      <c r="F21" s="5"/>
      <c r="G21" s="5"/>
      <c r="H21" s="7">
        <f t="shared" si="0"/>
        <v>0</v>
      </c>
      <c r="I21" s="5"/>
      <c r="J21" s="5"/>
      <c r="K21" s="7">
        <f t="shared" si="1"/>
        <v>0</v>
      </c>
      <c r="L21" s="4"/>
      <c r="M21" s="4"/>
      <c r="N21" s="4"/>
      <c r="O21" s="4"/>
      <c r="P21" s="4"/>
      <c r="Q21" s="4"/>
      <c r="R21" s="4"/>
    </row>
    <row r="22" spans="1:18" x14ac:dyDescent="0.25">
      <c r="A22" s="7" t="str">
        <f>IFERROR(INDEX(Students!#REF!,MATCH(19,Students!$U$4:$U$28,0)),"")</f>
        <v/>
      </c>
      <c r="B22" s="7" t="str">
        <f>IFERROR(INDEX(Students!$C$4:$C$28,MATCH(19,Students!$U$4:$U$28,0)),"")</f>
        <v/>
      </c>
      <c r="C22" s="4"/>
      <c r="D22" s="4"/>
      <c r="E22" s="5"/>
      <c r="F22" s="5"/>
      <c r="G22" s="5"/>
      <c r="H22" s="7">
        <f t="shared" si="0"/>
        <v>0</v>
      </c>
      <c r="I22" s="5"/>
      <c r="J22" s="5"/>
      <c r="K22" s="7">
        <f t="shared" si="1"/>
        <v>0</v>
      </c>
      <c r="L22" s="4"/>
      <c r="M22" s="4"/>
      <c r="N22" s="4"/>
      <c r="O22" s="4"/>
      <c r="P22" s="4"/>
      <c r="Q22" s="4"/>
      <c r="R22" s="4"/>
    </row>
    <row r="23" spans="1:18" x14ac:dyDescent="0.25">
      <c r="A23" s="7" t="str">
        <f>IFERROR(INDEX(Students!#REF!,MATCH(20,Students!$U$4:$U$28,0)),"")</f>
        <v/>
      </c>
      <c r="B23" s="7" t="str">
        <f>IFERROR(INDEX(Students!$C$4:$C$28,MATCH(20,Students!$U$4:$U$28,0)),"")</f>
        <v/>
      </c>
      <c r="C23" s="4"/>
      <c r="D23" s="4"/>
      <c r="E23" s="5"/>
      <c r="F23" s="5"/>
      <c r="G23" s="5"/>
      <c r="H23" s="7">
        <f t="shared" si="0"/>
        <v>0</v>
      </c>
      <c r="I23" s="5"/>
      <c r="J23" s="5"/>
      <c r="K23" s="7">
        <f t="shared" si="1"/>
        <v>0</v>
      </c>
      <c r="L23" s="4"/>
      <c r="M23" s="4"/>
      <c r="N23" s="4"/>
      <c r="O23" s="4"/>
      <c r="P23" s="4"/>
      <c r="Q23" s="4"/>
      <c r="R23" s="4"/>
    </row>
    <row r="24" spans="1:18" x14ac:dyDescent="0.25">
      <c r="A24" s="7" t="str">
        <f>IFERROR(INDEX(Students!#REF!,MATCH(21,Students!$U$4:$U$28,0)),"")</f>
        <v/>
      </c>
      <c r="B24" s="7" t="str">
        <f>IFERROR(INDEX(Students!$C$4:$C$28,MATCH(21,Students!$U$4:$U$28,0)),"")</f>
        <v/>
      </c>
      <c r="C24" s="4"/>
      <c r="D24" s="4"/>
      <c r="E24" s="5"/>
      <c r="F24" s="5"/>
      <c r="G24" s="5"/>
      <c r="H24" s="7">
        <f t="shared" si="0"/>
        <v>0</v>
      </c>
      <c r="I24" s="5"/>
      <c r="J24" s="5"/>
      <c r="K24" s="7">
        <f t="shared" si="1"/>
        <v>0</v>
      </c>
      <c r="L24" s="4"/>
      <c r="M24" s="4"/>
      <c r="N24" s="4"/>
      <c r="O24" s="4"/>
      <c r="P24" s="4"/>
      <c r="Q24" s="4"/>
      <c r="R24" s="4"/>
    </row>
    <row r="25" spans="1:18" x14ac:dyDescent="0.25">
      <c r="A25" s="7" t="str">
        <f>IFERROR(INDEX(Students!#REF!,MATCH(22,Students!$U$4:$U$28,0)),"")</f>
        <v/>
      </c>
      <c r="B25" s="7" t="str">
        <f>IFERROR(INDEX(Students!$C$4:$C$28,MATCH(22,Students!$U$4:$U$28,0)),"")</f>
        <v/>
      </c>
      <c r="C25" s="4"/>
      <c r="D25" s="4"/>
      <c r="E25" s="5"/>
      <c r="F25" s="5"/>
      <c r="G25" s="5"/>
      <c r="H25" s="7">
        <f t="shared" si="0"/>
        <v>0</v>
      </c>
      <c r="I25" s="5"/>
      <c r="J25" s="5"/>
      <c r="K25" s="7">
        <f t="shared" si="1"/>
        <v>0</v>
      </c>
      <c r="L25" s="4"/>
      <c r="M25" s="4"/>
      <c r="N25" s="4"/>
      <c r="O25" s="4"/>
      <c r="P25" s="4"/>
      <c r="Q25" s="4"/>
      <c r="R25" s="4"/>
    </row>
    <row r="26" spans="1:18" x14ac:dyDescent="0.25">
      <c r="A26" s="7" t="str">
        <f>IFERROR(INDEX(Students!#REF!,MATCH(23,Students!$U$4:$U$28,0)),"")</f>
        <v/>
      </c>
      <c r="B26" s="7" t="str">
        <f>IFERROR(INDEX(Students!$C$4:$C$28,MATCH(23,Students!$U$4:$U$28,0)),"")</f>
        <v/>
      </c>
      <c r="C26" s="4"/>
      <c r="D26" s="4"/>
      <c r="E26" s="5"/>
      <c r="F26" s="5"/>
      <c r="G26" s="5"/>
      <c r="H26" s="7">
        <f t="shared" si="0"/>
        <v>0</v>
      </c>
      <c r="I26" s="5"/>
      <c r="J26" s="5"/>
      <c r="K26" s="7">
        <f t="shared" si="1"/>
        <v>0</v>
      </c>
      <c r="L26" s="4"/>
      <c r="M26" s="4"/>
      <c r="N26" s="4"/>
      <c r="O26" s="4"/>
      <c r="P26" s="4"/>
      <c r="Q26" s="4"/>
      <c r="R26" s="4"/>
    </row>
    <row r="27" spans="1:18" x14ac:dyDescent="0.25">
      <c r="A27" s="7" t="str">
        <f>IFERROR(INDEX(Students!#REF!,MATCH(24,Students!$U$4:$U$28,0)),"")</f>
        <v/>
      </c>
      <c r="B27" s="7" t="str">
        <f>IFERROR(INDEX(Students!$C$4:$C$28,MATCH(24,Students!$U$4:$U$28,0)),"")</f>
        <v/>
      </c>
      <c r="C27" s="4"/>
      <c r="D27" s="4"/>
      <c r="E27" s="5"/>
      <c r="F27" s="5"/>
      <c r="G27" s="5"/>
      <c r="H27" s="7">
        <f t="shared" si="0"/>
        <v>0</v>
      </c>
      <c r="I27" s="5"/>
      <c r="J27" s="5"/>
      <c r="K27" s="7">
        <f t="shared" si="1"/>
        <v>0</v>
      </c>
      <c r="L27" s="4"/>
      <c r="M27" s="4"/>
      <c r="N27" s="4"/>
      <c r="O27" s="4"/>
      <c r="P27" s="4"/>
      <c r="Q27" s="4"/>
      <c r="R27" s="4"/>
    </row>
    <row r="28" spans="1:18" x14ac:dyDescent="0.25">
      <c r="A28" s="7" t="str">
        <f>IFERROR(INDEX(Students!#REF!,MATCH(25,Students!$U$4:$U$28,0)),"")</f>
        <v/>
      </c>
      <c r="B28" s="7" t="str">
        <f>IFERROR(INDEX(Students!$C$4:$C$28,MATCH(25,Students!$U$4:$U$28,0)),"")</f>
        <v/>
      </c>
      <c r="C28" s="4"/>
      <c r="D28" s="4"/>
      <c r="E28" s="5"/>
      <c r="F28" s="5"/>
      <c r="G28" s="5"/>
      <c r="H28" s="7">
        <f t="shared" si="0"/>
        <v>0</v>
      </c>
      <c r="I28" s="5"/>
      <c r="J28" s="5"/>
      <c r="K28" s="7">
        <f t="shared" si="1"/>
        <v>0</v>
      </c>
      <c r="L28" s="4"/>
      <c r="M28" s="4"/>
      <c r="N28" s="4"/>
      <c r="O28" s="4"/>
      <c r="P28" s="4"/>
      <c r="Q28" s="4"/>
      <c r="R28" s="4"/>
    </row>
  </sheetData>
  <sheetProtection formatCells="0" formatColumns="0" formatRows="0" insertColumns="0" insertRows="0" deleteColumns="0" deleteRows="0" selectLockedCells="1" sort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8"/>
  <sheetViews>
    <sheetView topLeftCell="M1" zoomScaleNormal="100" workbookViewId="0">
      <selection activeCell="V4" sqref="V4"/>
    </sheetView>
  </sheetViews>
  <sheetFormatPr defaultColWidth="8.7109375" defaultRowHeight="15" x14ac:dyDescent="0.25"/>
  <cols>
    <col min="1" max="1" width="12" customWidth="1"/>
    <col min="2" max="2" width="13" customWidth="1"/>
    <col min="3" max="3" width="15" customWidth="1"/>
    <col min="4" max="4" width="12" customWidth="1"/>
    <col min="5" max="6" width="16" customWidth="1"/>
    <col min="7" max="7" width="15" customWidth="1"/>
    <col min="8" max="9" width="14" customWidth="1"/>
    <col min="10" max="11" width="12" customWidth="1"/>
    <col min="12" max="12" width="14" customWidth="1"/>
    <col min="13" max="13" width="16" customWidth="1"/>
    <col min="14" max="14" width="14" customWidth="1"/>
    <col min="15" max="15" width="16" customWidth="1"/>
    <col min="16" max="16" width="12" customWidth="1"/>
    <col min="17" max="17" width="14" customWidth="1"/>
    <col min="18" max="18" width="16" customWidth="1"/>
    <col min="19" max="19" width="24" customWidth="1"/>
    <col min="20" max="20" width="19" customWidth="1"/>
  </cols>
  <sheetData>
    <row r="1" spans="1:21" ht="16.5" x14ac:dyDescent="0.25">
      <c r="A1" s="1" t="s">
        <v>89</v>
      </c>
    </row>
    <row r="2" spans="1:21" x14ac:dyDescent="0.25">
      <c r="A2" s="2" t="s">
        <v>0</v>
      </c>
    </row>
    <row r="3" spans="1:21" ht="38.25" x14ac:dyDescent="0.25">
      <c r="A3" s="9" t="s">
        <v>112</v>
      </c>
      <c r="B3" s="8" t="s">
        <v>110</v>
      </c>
      <c r="C3" s="9" t="s">
        <v>111</v>
      </c>
      <c r="D3" s="8" t="s">
        <v>74</v>
      </c>
      <c r="E3" s="8" t="s">
        <v>90</v>
      </c>
      <c r="F3" s="8" t="s">
        <v>91</v>
      </c>
      <c r="G3" s="8" t="s">
        <v>92</v>
      </c>
      <c r="H3" s="8" t="s">
        <v>77</v>
      </c>
      <c r="I3" s="8" t="s">
        <v>75</v>
      </c>
      <c r="J3" s="8" t="s">
        <v>93</v>
      </c>
      <c r="K3" s="8" t="s">
        <v>115</v>
      </c>
      <c r="L3" s="8" t="s">
        <v>94</v>
      </c>
      <c r="M3" s="8" t="s">
        <v>79</v>
      </c>
      <c r="N3" s="8" t="s">
        <v>95</v>
      </c>
      <c r="O3" s="8" t="s">
        <v>81</v>
      </c>
      <c r="P3" s="8" t="s">
        <v>85</v>
      </c>
      <c r="Q3" s="8" t="s">
        <v>96</v>
      </c>
      <c r="R3" s="8" t="s">
        <v>116</v>
      </c>
      <c r="S3" s="8" t="s">
        <v>88</v>
      </c>
      <c r="T3" s="8" t="s">
        <v>113</v>
      </c>
      <c r="U3" s="8" t="s">
        <v>86</v>
      </c>
    </row>
    <row r="4" spans="1:21" x14ac:dyDescent="0.25">
      <c r="A4" s="7" t="str">
        <f>IFERROR(INDEX(Students!#REF!,MATCH(1,Students!$V$4:$V$28,0)),"")</f>
        <v/>
      </c>
      <c r="B4" s="7" t="str">
        <f>IFERROR(INDEX(Students!$C$4:$C$28,MATCH(1,Students!$V$4:$V$28,0)),"")</f>
        <v>SAMPLE STUDENT THREE</v>
      </c>
      <c r="C4" s="4"/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7">
        <f t="shared" ref="O4:O28" si="0">SUM(E4:M4)+N4</f>
        <v>0</v>
      </c>
      <c r="P4" s="4"/>
      <c r="Q4" s="4"/>
      <c r="R4" s="4"/>
      <c r="S4" s="4"/>
      <c r="T4" s="4"/>
    </row>
    <row r="5" spans="1:21" x14ac:dyDescent="0.25">
      <c r="A5" s="7" t="str">
        <f>IFERROR(INDEX(Students!#REF!,MATCH(2,Students!$V$4:$V$28,0)),"")</f>
        <v/>
      </c>
      <c r="B5" s="7" t="str">
        <f>IFERROR(INDEX(Students!$C$4:$C$28,MATCH(2,Students!$V$4:$V$28,0)),"")</f>
        <v>SAMPLE STUDENT FOUR</v>
      </c>
      <c r="C5" s="4"/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7">
        <f t="shared" si="0"/>
        <v>0</v>
      </c>
      <c r="P5" s="4"/>
      <c r="Q5" s="4"/>
      <c r="R5" s="4"/>
      <c r="S5" s="4"/>
      <c r="T5" s="4"/>
    </row>
    <row r="6" spans="1:21" x14ac:dyDescent="0.25">
      <c r="A6" s="7" t="str">
        <f>IFERROR(INDEX(Students!#REF!,MATCH(3,Students!$V$4:$V$28,0)),"")</f>
        <v/>
      </c>
      <c r="B6" s="7" t="str">
        <f>IFERROR(INDEX(Students!$C$4:$C$28,MATCH(3,Students!$V$4:$V$28,0)),"")</f>
        <v/>
      </c>
      <c r="C6" s="4"/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7">
        <f t="shared" si="0"/>
        <v>0</v>
      </c>
      <c r="P6" s="4"/>
      <c r="Q6" s="4"/>
      <c r="R6" s="4"/>
      <c r="S6" s="4"/>
      <c r="T6" s="4"/>
    </row>
    <row r="7" spans="1:21" x14ac:dyDescent="0.25">
      <c r="A7" s="7" t="str">
        <f>IFERROR(INDEX(Students!#REF!,MATCH(4,Students!$V$4:$V$28,0)),"")</f>
        <v/>
      </c>
      <c r="B7" s="7" t="str">
        <f>IFERROR(INDEX(Students!$C$4:$C$28,MATCH(4,Students!$V$4:$V$28,0)),"")</f>
        <v/>
      </c>
      <c r="C7" s="4"/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7">
        <f t="shared" si="0"/>
        <v>0</v>
      </c>
      <c r="P7" s="4"/>
      <c r="Q7" s="4"/>
      <c r="R7" s="4"/>
      <c r="S7" s="4"/>
      <c r="T7" s="4"/>
    </row>
    <row r="8" spans="1:21" x14ac:dyDescent="0.25">
      <c r="A8" s="7" t="str">
        <f>IFERROR(INDEX(Students!#REF!,MATCH(5,Students!$V$4:$V$28,0)),"")</f>
        <v/>
      </c>
      <c r="B8" s="7" t="str">
        <f>IFERROR(INDEX(Students!$C$4:$C$28,MATCH(5,Students!$V$4:$V$28,0)),"")</f>
        <v/>
      </c>
      <c r="C8" s="4"/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7">
        <f t="shared" si="0"/>
        <v>0</v>
      </c>
      <c r="P8" s="4"/>
      <c r="Q8" s="4"/>
      <c r="R8" s="4"/>
      <c r="S8" s="4"/>
      <c r="T8" s="4"/>
    </row>
    <row r="9" spans="1:21" x14ac:dyDescent="0.25">
      <c r="A9" s="7" t="str">
        <f>IFERROR(INDEX(Students!#REF!,MATCH(6,Students!$V$4:$V$28,0)),"")</f>
        <v/>
      </c>
      <c r="B9" s="7" t="str">
        <f>IFERROR(INDEX(Students!$C$4:$C$28,MATCH(6,Students!$V$4:$V$28,0)),"")</f>
        <v/>
      </c>
      <c r="C9" s="4"/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7">
        <f t="shared" si="0"/>
        <v>0</v>
      </c>
      <c r="P9" s="4"/>
      <c r="Q9" s="4"/>
      <c r="R9" s="4"/>
      <c r="S9" s="4"/>
      <c r="T9" s="4"/>
    </row>
    <row r="10" spans="1:21" x14ac:dyDescent="0.25">
      <c r="A10" s="7" t="str">
        <f>IFERROR(INDEX(Students!#REF!,MATCH(7,Students!$V$4:$V$28,0)),"")</f>
        <v/>
      </c>
      <c r="B10" s="7" t="str">
        <f>IFERROR(INDEX(Students!$C$4:$C$28,MATCH(7,Students!$V$4:$V$28,0)),"")</f>
        <v/>
      </c>
      <c r="C10" s="4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7">
        <f t="shared" si="0"/>
        <v>0</v>
      </c>
      <c r="P10" s="4"/>
      <c r="Q10" s="4"/>
      <c r="R10" s="4"/>
      <c r="S10" s="4"/>
      <c r="T10" s="4"/>
    </row>
    <row r="11" spans="1:21" x14ac:dyDescent="0.25">
      <c r="A11" s="7" t="str">
        <f>IFERROR(INDEX(Students!#REF!,MATCH(8,Students!$V$4:$V$28,0)),"")</f>
        <v/>
      </c>
      <c r="B11" s="7" t="str">
        <f>IFERROR(INDEX(Students!$C$4:$C$28,MATCH(8,Students!$V$4:$V$28,0)),"")</f>
        <v/>
      </c>
      <c r="C11" s="4"/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7">
        <f t="shared" si="0"/>
        <v>0</v>
      </c>
      <c r="P11" s="4"/>
      <c r="Q11" s="4"/>
      <c r="R11" s="4"/>
      <c r="S11" s="4"/>
      <c r="T11" s="4"/>
    </row>
    <row r="12" spans="1:21" x14ac:dyDescent="0.25">
      <c r="A12" s="7" t="str">
        <f>IFERROR(INDEX(Students!#REF!,MATCH(9,Students!$V$4:$V$28,0)),"")</f>
        <v/>
      </c>
      <c r="B12" s="7" t="str">
        <f>IFERROR(INDEX(Students!$C$4:$C$28,MATCH(9,Students!$V$4:$V$28,0)),"")</f>
        <v/>
      </c>
      <c r="C12" s="4"/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7">
        <f t="shared" si="0"/>
        <v>0</v>
      </c>
      <c r="P12" s="4"/>
      <c r="Q12" s="4"/>
      <c r="R12" s="4"/>
      <c r="S12" s="4"/>
      <c r="T12" s="4"/>
    </row>
    <row r="13" spans="1:21" x14ac:dyDescent="0.25">
      <c r="A13" s="7" t="str">
        <f>IFERROR(INDEX(Students!#REF!,MATCH(10,Students!$V$4:$V$28,0)),"")</f>
        <v/>
      </c>
      <c r="B13" s="7" t="str">
        <f>IFERROR(INDEX(Students!$C$4:$C$28,MATCH(10,Students!$V$4:$V$28,0)),"")</f>
        <v/>
      </c>
      <c r="C13" s="4"/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7">
        <f t="shared" si="0"/>
        <v>0</v>
      </c>
      <c r="P13" s="4"/>
      <c r="Q13" s="4"/>
      <c r="R13" s="4"/>
      <c r="S13" s="4"/>
      <c r="T13" s="4"/>
    </row>
    <row r="14" spans="1:21" x14ac:dyDescent="0.25">
      <c r="A14" s="7" t="str">
        <f>IFERROR(INDEX(Students!#REF!,MATCH(11,Students!$V$4:$V$28,0)),"")</f>
        <v/>
      </c>
      <c r="B14" s="7" t="str">
        <f>IFERROR(INDEX(Students!$C$4:$C$28,MATCH(11,Students!$V$4:$V$28,0)),"")</f>
        <v/>
      </c>
      <c r="C14" s="4"/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7">
        <f t="shared" si="0"/>
        <v>0</v>
      </c>
      <c r="P14" s="4"/>
      <c r="Q14" s="4"/>
      <c r="R14" s="4"/>
      <c r="S14" s="4"/>
      <c r="T14" s="4"/>
    </row>
    <row r="15" spans="1:21" x14ac:dyDescent="0.25">
      <c r="A15" s="7" t="str">
        <f>IFERROR(INDEX(Students!#REF!,MATCH(12,Students!$V$4:$V$28,0)),"")</f>
        <v/>
      </c>
      <c r="B15" s="7" t="str">
        <f>IFERROR(INDEX(Students!$C$4:$C$28,MATCH(12,Students!$V$4:$V$28,0)),"")</f>
        <v/>
      </c>
      <c r="C15" s="4"/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7">
        <f t="shared" si="0"/>
        <v>0</v>
      </c>
      <c r="P15" s="4"/>
      <c r="Q15" s="4"/>
      <c r="R15" s="4"/>
      <c r="S15" s="4"/>
      <c r="T15" s="4"/>
    </row>
    <row r="16" spans="1:21" x14ac:dyDescent="0.25">
      <c r="A16" s="7" t="str">
        <f>IFERROR(INDEX(Students!#REF!,MATCH(13,Students!$V$4:$V$28,0)),"")</f>
        <v/>
      </c>
      <c r="B16" s="7" t="str">
        <f>IFERROR(INDEX(Students!$C$4:$C$28,MATCH(13,Students!$V$4:$V$28,0)),"")</f>
        <v/>
      </c>
      <c r="C16" s="4"/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7">
        <f t="shared" si="0"/>
        <v>0</v>
      </c>
      <c r="P16" s="4"/>
      <c r="Q16" s="4"/>
      <c r="R16" s="4"/>
      <c r="S16" s="4"/>
      <c r="T16" s="4"/>
    </row>
    <row r="17" spans="1:20" x14ac:dyDescent="0.25">
      <c r="A17" s="7" t="str">
        <f>IFERROR(INDEX(Students!#REF!,MATCH(14,Students!$V$4:$V$28,0)),"")</f>
        <v/>
      </c>
      <c r="B17" s="7" t="str">
        <f>IFERROR(INDEX(Students!$C$4:$C$28,MATCH(14,Students!$V$4:$V$28,0)),"")</f>
        <v/>
      </c>
      <c r="C17" s="4"/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7">
        <f t="shared" si="0"/>
        <v>0</v>
      </c>
      <c r="P17" s="4"/>
      <c r="Q17" s="4"/>
      <c r="R17" s="4"/>
      <c r="S17" s="4"/>
      <c r="T17" s="4"/>
    </row>
    <row r="18" spans="1:20" x14ac:dyDescent="0.25">
      <c r="A18" s="7" t="str">
        <f>IFERROR(INDEX(Students!#REF!,MATCH(15,Students!$V$4:$V$28,0)),"")</f>
        <v/>
      </c>
      <c r="B18" s="7" t="str">
        <f>IFERROR(INDEX(Students!$C$4:$C$28,MATCH(15,Students!$V$4:$V$28,0)),"")</f>
        <v/>
      </c>
      <c r="C18" s="4"/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7">
        <f t="shared" si="0"/>
        <v>0</v>
      </c>
      <c r="P18" s="4"/>
      <c r="Q18" s="4"/>
      <c r="R18" s="4"/>
      <c r="S18" s="4"/>
      <c r="T18" s="4"/>
    </row>
    <row r="19" spans="1:20" x14ac:dyDescent="0.25">
      <c r="A19" s="7" t="str">
        <f>IFERROR(INDEX(Students!#REF!,MATCH(16,Students!$V$4:$V$28,0)),"")</f>
        <v/>
      </c>
      <c r="B19" s="7" t="str">
        <f>IFERROR(INDEX(Students!$C$4:$C$28,MATCH(16,Students!$V$4:$V$28,0)),"")</f>
        <v/>
      </c>
      <c r="C19" s="4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7">
        <f t="shared" si="0"/>
        <v>0</v>
      </c>
      <c r="P19" s="4"/>
      <c r="Q19" s="4"/>
      <c r="R19" s="4"/>
      <c r="S19" s="4"/>
      <c r="T19" s="4"/>
    </row>
    <row r="20" spans="1:20" x14ac:dyDescent="0.25">
      <c r="A20" s="7" t="str">
        <f>IFERROR(INDEX(Students!#REF!,MATCH(17,Students!$V$4:$V$28,0)),"")</f>
        <v/>
      </c>
      <c r="B20" s="7" t="str">
        <f>IFERROR(INDEX(Students!$C$4:$C$28,MATCH(17,Students!$V$4:$V$28,0)),"")</f>
        <v/>
      </c>
      <c r="C20" s="4"/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7">
        <f t="shared" si="0"/>
        <v>0</v>
      </c>
      <c r="P20" s="4"/>
      <c r="Q20" s="4"/>
      <c r="R20" s="4"/>
      <c r="S20" s="4"/>
      <c r="T20" s="4"/>
    </row>
    <row r="21" spans="1:20" x14ac:dyDescent="0.25">
      <c r="A21" s="7" t="str">
        <f>IFERROR(INDEX(Students!#REF!,MATCH(18,Students!$V$4:$V$28,0)),"")</f>
        <v/>
      </c>
      <c r="B21" s="7" t="str">
        <f>IFERROR(INDEX(Students!$C$4:$C$28,MATCH(18,Students!$V$4:$V$28,0)),"")</f>
        <v/>
      </c>
      <c r="C21" s="4"/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7">
        <f t="shared" si="0"/>
        <v>0</v>
      </c>
      <c r="P21" s="4"/>
      <c r="Q21" s="4"/>
      <c r="R21" s="4"/>
      <c r="S21" s="4"/>
      <c r="T21" s="4"/>
    </row>
    <row r="22" spans="1:20" x14ac:dyDescent="0.25">
      <c r="A22" s="7" t="str">
        <f>IFERROR(INDEX(Students!#REF!,MATCH(19,Students!$V$4:$V$28,0)),"")</f>
        <v/>
      </c>
      <c r="B22" s="7" t="str">
        <f>IFERROR(INDEX(Students!$C$4:$C$28,MATCH(19,Students!$V$4:$V$28,0)),"")</f>
        <v/>
      </c>
      <c r="C22" s="4"/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7">
        <f t="shared" si="0"/>
        <v>0</v>
      </c>
      <c r="P22" s="4"/>
      <c r="Q22" s="4"/>
      <c r="R22" s="4"/>
      <c r="S22" s="4"/>
      <c r="T22" s="4"/>
    </row>
    <row r="23" spans="1:20" x14ac:dyDescent="0.25">
      <c r="A23" s="7" t="str">
        <f>IFERROR(INDEX(Students!#REF!,MATCH(20,Students!$V$4:$V$28,0)),"")</f>
        <v/>
      </c>
      <c r="B23" s="7" t="str">
        <f>IFERROR(INDEX(Students!$C$4:$C$28,MATCH(20,Students!$V$4:$V$28,0)),"")</f>
        <v/>
      </c>
      <c r="C23" s="4"/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7">
        <f t="shared" si="0"/>
        <v>0</v>
      </c>
      <c r="P23" s="4"/>
      <c r="Q23" s="4"/>
      <c r="R23" s="4"/>
      <c r="S23" s="4"/>
      <c r="T23" s="4"/>
    </row>
    <row r="24" spans="1:20" x14ac:dyDescent="0.25">
      <c r="A24" s="7" t="str">
        <f>IFERROR(INDEX(Students!#REF!,MATCH(21,Students!$V$4:$V$28,0)),"")</f>
        <v/>
      </c>
      <c r="B24" s="7" t="str">
        <f>IFERROR(INDEX(Students!$C$4:$C$28,MATCH(21,Students!$V$4:$V$28,0)),"")</f>
        <v/>
      </c>
      <c r="C24" s="4"/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7">
        <f t="shared" si="0"/>
        <v>0</v>
      </c>
      <c r="P24" s="4"/>
      <c r="Q24" s="4"/>
      <c r="R24" s="4"/>
      <c r="S24" s="4"/>
      <c r="T24" s="4"/>
    </row>
    <row r="25" spans="1:20" x14ac:dyDescent="0.25">
      <c r="A25" s="7" t="str">
        <f>IFERROR(INDEX(Students!#REF!,MATCH(22,Students!$V$4:$V$28,0)),"")</f>
        <v/>
      </c>
      <c r="B25" s="7" t="str">
        <f>IFERROR(INDEX(Students!$C$4:$C$28,MATCH(22,Students!$V$4:$V$28,0)),"")</f>
        <v/>
      </c>
      <c r="C25" s="4"/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7">
        <f t="shared" si="0"/>
        <v>0</v>
      </c>
      <c r="P25" s="4"/>
      <c r="Q25" s="4"/>
      <c r="R25" s="4"/>
      <c r="S25" s="4"/>
      <c r="T25" s="4"/>
    </row>
    <row r="26" spans="1:20" x14ac:dyDescent="0.25">
      <c r="A26" s="7" t="str">
        <f>IFERROR(INDEX(Students!#REF!,MATCH(23,Students!$V$4:$V$28,0)),"")</f>
        <v/>
      </c>
      <c r="B26" s="7" t="str">
        <f>IFERROR(INDEX(Students!$C$4:$C$28,MATCH(23,Students!$V$4:$V$28,0)),"")</f>
        <v/>
      </c>
      <c r="C26" s="4"/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7">
        <f t="shared" si="0"/>
        <v>0</v>
      </c>
      <c r="P26" s="4"/>
      <c r="Q26" s="4"/>
      <c r="R26" s="4"/>
      <c r="S26" s="4"/>
      <c r="T26" s="4"/>
    </row>
    <row r="27" spans="1:20" x14ac:dyDescent="0.25">
      <c r="A27" s="7" t="str">
        <f>IFERROR(INDEX(Students!#REF!,MATCH(24,Students!$V$4:$V$28,0)),"")</f>
        <v/>
      </c>
      <c r="B27" s="7" t="str">
        <f>IFERROR(INDEX(Students!$C$4:$C$28,MATCH(24,Students!$V$4:$V$28,0)),"")</f>
        <v/>
      </c>
      <c r="C27" s="4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7">
        <f t="shared" si="0"/>
        <v>0</v>
      </c>
      <c r="P27" s="4"/>
      <c r="Q27" s="4"/>
      <c r="R27" s="4"/>
      <c r="S27" s="4"/>
      <c r="T27" s="4"/>
    </row>
    <row r="28" spans="1:20" x14ac:dyDescent="0.25">
      <c r="A28" s="7" t="str">
        <f>IFERROR(INDEX(Students!#REF!,MATCH(25,Students!$V$4:$V$28,0)),"")</f>
        <v/>
      </c>
      <c r="B28" s="7" t="str">
        <f>IFERROR(INDEX(Students!$C$4:$C$28,MATCH(25,Students!$V$4:$V$28,0)),"")</f>
        <v/>
      </c>
      <c r="C28" s="4"/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7">
        <f t="shared" si="0"/>
        <v>0</v>
      </c>
      <c r="P28" s="4"/>
      <c r="Q28" s="4"/>
      <c r="R28" s="4"/>
      <c r="S28" s="4"/>
      <c r="T28" s="4"/>
    </row>
  </sheetData>
  <sheetProtection formatCells="0" formatColumns="0" formatRows="0" insertColumns="0" insertRows="0" deleteColumns="0" deleteRows="0" sort="0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8"/>
  <sheetViews>
    <sheetView tabSelected="1" zoomScale="115" zoomScaleNormal="115" workbookViewId="0">
      <selection activeCell="R3" sqref="R3"/>
    </sheetView>
  </sheetViews>
  <sheetFormatPr defaultColWidth="8.7109375" defaultRowHeight="15" x14ac:dyDescent="0.25"/>
  <cols>
    <col min="1" max="1" width="12" customWidth="1"/>
    <col min="2" max="2" width="13" customWidth="1"/>
    <col min="3" max="3" width="15" customWidth="1"/>
    <col min="4" max="6" width="12" customWidth="1"/>
    <col min="7" max="8" width="14" customWidth="1"/>
    <col min="9" max="9" width="16" customWidth="1"/>
    <col min="10" max="10" width="12" customWidth="1"/>
    <col min="11" max="11" width="13" customWidth="1"/>
    <col min="12" max="12" width="22" customWidth="1"/>
    <col min="13" max="13" width="16" customWidth="1"/>
    <col min="14" max="14" width="21" customWidth="1"/>
    <col min="15" max="15" width="24" customWidth="1"/>
    <col min="16" max="16" width="19" customWidth="1"/>
  </cols>
  <sheetData>
    <row r="1" spans="1:17" ht="16.5" x14ac:dyDescent="0.25">
      <c r="A1" s="1" t="s">
        <v>97</v>
      </c>
    </row>
    <row r="2" spans="1:17" x14ac:dyDescent="0.25">
      <c r="A2" s="2" t="s">
        <v>0</v>
      </c>
    </row>
    <row r="3" spans="1:17" ht="38.25" x14ac:dyDescent="0.25">
      <c r="A3" s="3" t="s">
        <v>112</v>
      </c>
      <c r="B3" s="3" t="s">
        <v>110</v>
      </c>
      <c r="C3" s="3" t="s">
        <v>111</v>
      </c>
      <c r="D3" s="3" t="s">
        <v>74</v>
      </c>
      <c r="E3" s="3" t="s">
        <v>117</v>
      </c>
      <c r="F3" s="3" t="s">
        <v>93</v>
      </c>
      <c r="G3" s="3" t="s">
        <v>75</v>
      </c>
      <c r="H3" s="3" t="s">
        <v>78</v>
      </c>
      <c r="I3" s="3" t="s">
        <v>79</v>
      </c>
      <c r="J3" s="3" t="s">
        <v>98</v>
      </c>
      <c r="K3" s="3" t="s">
        <v>118</v>
      </c>
      <c r="L3" s="3" t="s">
        <v>99</v>
      </c>
      <c r="M3" s="3" t="s">
        <v>81</v>
      </c>
      <c r="N3" s="3" t="s">
        <v>100</v>
      </c>
      <c r="O3" s="3" t="s">
        <v>88</v>
      </c>
      <c r="P3" s="3" t="s">
        <v>119</v>
      </c>
      <c r="Q3" s="3" t="s">
        <v>86</v>
      </c>
    </row>
    <row r="4" spans="1:17" x14ac:dyDescent="0.25">
      <c r="A4" s="7" t="str">
        <f>IFERROR(INDEX(Students!#REF!,MATCH(1,Students!$W$4:$W$28,0)),"")</f>
        <v/>
      </c>
      <c r="B4" s="7" t="str">
        <f>IFERROR(INDEX(Students!$C$4:$C$28,MATCH(1,Students!$W$4:$W$28,0)),"")</f>
        <v>SAMPLE STUDENT FIVE</v>
      </c>
      <c r="C4" s="4"/>
      <c r="D4" s="4"/>
      <c r="E4" s="4"/>
      <c r="F4" s="5"/>
      <c r="G4" s="5"/>
      <c r="H4" s="5"/>
      <c r="I4" s="5"/>
      <c r="J4" s="5"/>
      <c r="K4" s="4"/>
      <c r="L4" s="4"/>
      <c r="M4" s="7">
        <f t="shared" ref="M4:M28" si="0">SUM(F4:J4)</f>
        <v>0</v>
      </c>
      <c r="N4" s="4"/>
      <c r="O4" s="4"/>
      <c r="P4" s="4"/>
    </row>
    <row r="5" spans="1:17" x14ac:dyDescent="0.25">
      <c r="A5" s="7" t="str">
        <f>IFERROR(INDEX(Students!#REF!,MATCH(2,Students!$W$4:$W$28,0)),"")</f>
        <v/>
      </c>
      <c r="B5" s="7" t="str">
        <f>IFERROR(INDEX(Students!$C$4:$C$28,MATCH(2,Students!$W$4:$W$28,0)),"")</f>
        <v>SAMPLE STUDENT SIX</v>
      </c>
      <c r="C5" s="4"/>
      <c r="D5" s="4"/>
      <c r="E5" s="4"/>
      <c r="F5" s="5"/>
      <c r="G5" s="5"/>
      <c r="H5" s="5"/>
      <c r="I5" s="5"/>
      <c r="J5" s="5"/>
      <c r="K5" s="4"/>
      <c r="L5" s="4"/>
      <c r="M5" s="7">
        <f t="shared" si="0"/>
        <v>0</v>
      </c>
      <c r="N5" s="4"/>
      <c r="O5" s="4"/>
      <c r="P5" s="4"/>
    </row>
    <row r="6" spans="1:17" x14ac:dyDescent="0.25">
      <c r="A6" s="7" t="str">
        <f>IFERROR(INDEX(Students!#REF!,MATCH(3,Students!$W$4:$W$28,0)),"")</f>
        <v/>
      </c>
      <c r="B6" s="7" t="str">
        <f>IFERROR(INDEX(Students!$C$4:$C$28,MATCH(3,Students!$W$4:$W$28,0)),"")</f>
        <v/>
      </c>
      <c r="C6" s="4"/>
      <c r="D6" s="4"/>
      <c r="E6" s="4"/>
      <c r="F6" s="5"/>
      <c r="G6" s="5"/>
      <c r="H6" s="5"/>
      <c r="I6" s="5"/>
      <c r="J6" s="5"/>
      <c r="K6" s="4"/>
      <c r="L6" s="4"/>
      <c r="M6" s="7">
        <f t="shared" si="0"/>
        <v>0</v>
      </c>
      <c r="N6" s="4"/>
      <c r="O6" s="4"/>
      <c r="P6" s="4"/>
    </row>
    <row r="7" spans="1:17" x14ac:dyDescent="0.25">
      <c r="A7" s="7" t="str">
        <f>IFERROR(INDEX(Students!#REF!,MATCH(4,Students!$W$4:$W$28,0)),"")</f>
        <v/>
      </c>
      <c r="B7" s="7" t="str">
        <f>IFERROR(INDEX(Students!$C$4:$C$28,MATCH(4,Students!$W$4:$W$28,0)),"")</f>
        <v/>
      </c>
      <c r="C7" s="4"/>
      <c r="D7" s="4"/>
      <c r="E7" s="4"/>
      <c r="F7" s="5"/>
      <c r="G7" s="5"/>
      <c r="H7" s="5"/>
      <c r="I7" s="5"/>
      <c r="J7" s="5"/>
      <c r="K7" s="4"/>
      <c r="L7" s="4"/>
      <c r="M7" s="7">
        <f t="shared" si="0"/>
        <v>0</v>
      </c>
      <c r="N7" s="4"/>
      <c r="O7" s="4"/>
      <c r="P7" s="4"/>
    </row>
    <row r="8" spans="1:17" x14ac:dyDescent="0.25">
      <c r="A8" s="7" t="str">
        <f>IFERROR(INDEX(Students!#REF!,MATCH(5,Students!$W$4:$W$28,0)),"")</f>
        <v/>
      </c>
      <c r="B8" s="7" t="str">
        <f>IFERROR(INDEX(Students!$C$4:$C$28,MATCH(5,Students!$W$4:$W$28,0)),"")</f>
        <v/>
      </c>
      <c r="C8" s="4"/>
      <c r="D8" s="4"/>
      <c r="E8" s="4"/>
      <c r="F8" s="5"/>
      <c r="G8" s="5"/>
      <c r="H8" s="5"/>
      <c r="I8" s="5"/>
      <c r="J8" s="5"/>
      <c r="K8" s="4"/>
      <c r="L8" s="4"/>
      <c r="M8" s="7">
        <f t="shared" si="0"/>
        <v>0</v>
      </c>
      <c r="N8" s="4"/>
      <c r="O8" s="4"/>
      <c r="P8" s="4"/>
    </row>
    <row r="9" spans="1:17" x14ac:dyDescent="0.25">
      <c r="A9" s="7" t="str">
        <f>IFERROR(INDEX(Students!#REF!,MATCH(6,Students!$W$4:$W$28,0)),"")</f>
        <v/>
      </c>
      <c r="B9" s="7" t="str">
        <f>IFERROR(INDEX(Students!$C$4:$C$28,MATCH(6,Students!$W$4:$W$28,0)),"")</f>
        <v/>
      </c>
      <c r="C9" s="4"/>
      <c r="D9" s="4"/>
      <c r="E9" s="4"/>
      <c r="F9" s="5"/>
      <c r="G9" s="5"/>
      <c r="H9" s="5"/>
      <c r="I9" s="5"/>
      <c r="J9" s="5"/>
      <c r="K9" s="4"/>
      <c r="L9" s="4"/>
      <c r="M9" s="7">
        <f t="shared" si="0"/>
        <v>0</v>
      </c>
      <c r="N9" s="4"/>
      <c r="O9" s="4"/>
      <c r="P9" s="4"/>
    </row>
    <row r="10" spans="1:17" x14ac:dyDescent="0.25">
      <c r="A10" s="7" t="str">
        <f>IFERROR(INDEX(Students!#REF!,MATCH(7,Students!$W$4:$W$28,0)),"")</f>
        <v/>
      </c>
      <c r="B10" s="7" t="str">
        <f>IFERROR(INDEX(Students!$C$4:$C$28,MATCH(7,Students!$W$4:$W$28,0)),"")</f>
        <v/>
      </c>
      <c r="C10" s="4"/>
      <c r="D10" s="4"/>
      <c r="E10" s="4"/>
      <c r="F10" s="5"/>
      <c r="G10" s="5"/>
      <c r="H10" s="5"/>
      <c r="I10" s="5"/>
      <c r="J10" s="5"/>
      <c r="K10" s="4"/>
      <c r="L10" s="4"/>
      <c r="M10" s="7">
        <f t="shared" si="0"/>
        <v>0</v>
      </c>
      <c r="N10" s="4"/>
      <c r="O10" s="4"/>
      <c r="P10" s="4"/>
    </row>
    <row r="11" spans="1:17" x14ac:dyDescent="0.25">
      <c r="A11" s="7" t="str">
        <f>IFERROR(INDEX(Students!#REF!,MATCH(8,Students!$W$4:$W$28,0)),"")</f>
        <v/>
      </c>
      <c r="B11" s="7" t="str">
        <f>IFERROR(INDEX(Students!$C$4:$C$28,MATCH(8,Students!$W$4:$W$28,0)),"")</f>
        <v/>
      </c>
      <c r="C11" s="4"/>
      <c r="D11" s="4"/>
      <c r="E11" s="4"/>
      <c r="F11" s="5"/>
      <c r="G11" s="5"/>
      <c r="H11" s="5"/>
      <c r="I11" s="5"/>
      <c r="J11" s="5"/>
      <c r="K11" s="4"/>
      <c r="L11" s="4"/>
      <c r="M11" s="7">
        <f t="shared" si="0"/>
        <v>0</v>
      </c>
      <c r="N11" s="4"/>
      <c r="O11" s="4"/>
      <c r="P11" s="4"/>
    </row>
    <row r="12" spans="1:17" x14ac:dyDescent="0.25">
      <c r="A12" s="7" t="str">
        <f>IFERROR(INDEX(Students!#REF!,MATCH(9,Students!$W$4:$W$28,0)),"")</f>
        <v/>
      </c>
      <c r="B12" s="7" t="str">
        <f>IFERROR(INDEX(Students!$C$4:$C$28,MATCH(9,Students!$W$4:$W$28,0)),"")</f>
        <v/>
      </c>
      <c r="C12" s="4"/>
      <c r="D12" s="4"/>
      <c r="E12" s="4"/>
      <c r="F12" s="5"/>
      <c r="G12" s="5"/>
      <c r="H12" s="5"/>
      <c r="I12" s="5"/>
      <c r="J12" s="5"/>
      <c r="K12" s="4"/>
      <c r="L12" s="4"/>
      <c r="M12" s="7">
        <f t="shared" si="0"/>
        <v>0</v>
      </c>
      <c r="N12" s="4"/>
      <c r="O12" s="4"/>
      <c r="P12" s="4"/>
    </row>
    <row r="13" spans="1:17" x14ac:dyDescent="0.25">
      <c r="A13" s="7" t="str">
        <f>IFERROR(INDEX(Students!#REF!,MATCH(10,Students!$W$4:$W$28,0)),"")</f>
        <v/>
      </c>
      <c r="B13" s="7" t="str">
        <f>IFERROR(INDEX(Students!$C$4:$C$28,MATCH(10,Students!$W$4:$W$28,0)),"")</f>
        <v/>
      </c>
      <c r="C13" s="4"/>
      <c r="D13" s="4"/>
      <c r="E13" s="4"/>
      <c r="F13" s="5"/>
      <c r="G13" s="5"/>
      <c r="H13" s="5"/>
      <c r="I13" s="5"/>
      <c r="J13" s="5"/>
      <c r="K13" s="4"/>
      <c r="L13" s="4"/>
      <c r="M13" s="7">
        <f t="shared" si="0"/>
        <v>0</v>
      </c>
      <c r="N13" s="4"/>
      <c r="O13" s="4"/>
      <c r="P13" s="4"/>
    </row>
    <row r="14" spans="1:17" x14ac:dyDescent="0.25">
      <c r="A14" s="7" t="str">
        <f>IFERROR(INDEX(Students!#REF!,MATCH(11,Students!$W$4:$W$28,0)),"")</f>
        <v/>
      </c>
      <c r="B14" s="7" t="str">
        <f>IFERROR(INDEX(Students!$C$4:$C$28,MATCH(11,Students!$W$4:$W$28,0)),"")</f>
        <v/>
      </c>
      <c r="C14" s="4"/>
      <c r="D14" s="4"/>
      <c r="E14" s="4"/>
      <c r="F14" s="5"/>
      <c r="G14" s="5"/>
      <c r="H14" s="5"/>
      <c r="I14" s="5"/>
      <c r="J14" s="5"/>
      <c r="K14" s="4"/>
      <c r="L14" s="4"/>
      <c r="M14" s="7">
        <f t="shared" si="0"/>
        <v>0</v>
      </c>
      <c r="N14" s="4"/>
      <c r="O14" s="4"/>
      <c r="P14" s="4"/>
    </row>
    <row r="15" spans="1:17" x14ac:dyDescent="0.25">
      <c r="A15" s="7" t="str">
        <f>IFERROR(INDEX(Students!#REF!,MATCH(12,Students!$W$4:$W$28,0)),"")</f>
        <v/>
      </c>
      <c r="B15" s="7" t="str">
        <f>IFERROR(INDEX(Students!$C$4:$C$28,MATCH(12,Students!$W$4:$W$28,0)),"")</f>
        <v/>
      </c>
      <c r="C15" s="4"/>
      <c r="D15" s="4"/>
      <c r="E15" s="4"/>
      <c r="F15" s="5"/>
      <c r="G15" s="5"/>
      <c r="H15" s="5"/>
      <c r="I15" s="5"/>
      <c r="J15" s="5"/>
      <c r="K15" s="4"/>
      <c r="L15" s="4"/>
      <c r="M15" s="7">
        <f t="shared" si="0"/>
        <v>0</v>
      </c>
      <c r="N15" s="4"/>
      <c r="O15" s="4"/>
      <c r="P15" s="4"/>
    </row>
    <row r="16" spans="1:17" x14ac:dyDescent="0.25">
      <c r="A16" s="7" t="str">
        <f>IFERROR(INDEX(Students!#REF!,MATCH(13,Students!$W$4:$W$28,0)),"")</f>
        <v/>
      </c>
      <c r="B16" s="7" t="str">
        <f>IFERROR(INDEX(Students!$C$4:$C$28,MATCH(13,Students!$W$4:$W$28,0)),"")</f>
        <v/>
      </c>
      <c r="C16" s="4"/>
      <c r="D16" s="4"/>
      <c r="E16" s="4"/>
      <c r="F16" s="5"/>
      <c r="G16" s="5"/>
      <c r="H16" s="5"/>
      <c r="I16" s="5"/>
      <c r="J16" s="5"/>
      <c r="K16" s="4"/>
      <c r="L16" s="4"/>
      <c r="M16" s="7">
        <f t="shared" si="0"/>
        <v>0</v>
      </c>
      <c r="N16" s="4"/>
      <c r="O16" s="4"/>
      <c r="P16" s="4"/>
    </row>
    <row r="17" spans="1:16" x14ac:dyDescent="0.25">
      <c r="A17" s="7" t="str">
        <f>IFERROR(INDEX(Students!#REF!,MATCH(14,Students!$W$4:$W$28,0)),"")</f>
        <v/>
      </c>
      <c r="B17" s="7" t="str">
        <f>IFERROR(INDEX(Students!$C$4:$C$28,MATCH(14,Students!$W$4:$W$28,0)),"")</f>
        <v/>
      </c>
      <c r="C17" s="4"/>
      <c r="D17" s="4"/>
      <c r="E17" s="4"/>
      <c r="F17" s="5"/>
      <c r="G17" s="5"/>
      <c r="H17" s="5"/>
      <c r="I17" s="5"/>
      <c r="J17" s="5"/>
      <c r="K17" s="4"/>
      <c r="L17" s="4"/>
      <c r="M17" s="7">
        <f t="shared" si="0"/>
        <v>0</v>
      </c>
      <c r="N17" s="4"/>
      <c r="O17" s="4"/>
      <c r="P17" s="4"/>
    </row>
    <row r="18" spans="1:16" x14ac:dyDescent="0.25">
      <c r="A18" s="7" t="str">
        <f>IFERROR(INDEX(Students!#REF!,MATCH(15,Students!$W$4:$W$28,0)),"")</f>
        <v/>
      </c>
      <c r="B18" s="7" t="str">
        <f>IFERROR(INDEX(Students!$C$4:$C$28,MATCH(15,Students!$W$4:$W$28,0)),"")</f>
        <v/>
      </c>
      <c r="C18" s="4"/>
      <c r="D18" s="4"/>
      <c r="E18" s="4"/>
      <c r="F18" s="5"/>
      <c r="G18" s="5"/>
      <c r="H18" s="5"/>
      <c r="I18" s="5"/>
      <c r="J18" s="5"/>
      <c r="K18" s="4"/>
      <c r="L18" s="4"/>
      <c r="M18" s="7">
        <f t="shared" si="0"/>
        <v>0</v>
      </c>
      <c r="N18" s="4"/>
      <c r="O18" s="4"/>
      <c r="P18" s="4"/>
    </row>
    <row r="19" spans="1:16" x14ac:dyDescent="0.25">
      <c r="A19" s="7" t="str">
        <f>IFERROR(INDEX(Students!#REF!,MATCH(16,Students!$W$4:$W$28,0)),"")</f>
        <v/>
      </c>
      <c r="B19" s="7" t="str">
        <f>IFERROR(INDEX(Students!$C$4:$C$28,MATCH(16,Students!$W$4:$W$28,0)),"")</f>
        <v/>
      </c>
      <c r="C19" s="4"/>
      <c r="D19" s="4"/>
      <c r="E19" s="4"/>
      <c r="F19" s="5"/>
      <c r="G19" s="5"/>
      <c r="H19" s="5"/>
      <c r="I19" s="5"/>
      <c r="J19" s="5"/>
      <c r="K19" s="4"/>
      <c r="L19" s="4"/>
      <c r="M19" s="7">
        <f t="shared" si="0"/>
        <v>0</v>
      </c>
      <c r="N19" s="4"/>
      <c r="O19" s="4"/>
      <c r="P19" s="4"/>
    </row>
    <row r="20" spans="1:16" x14ac:dyDescent="0.25">
      <c r="A20" s="7" t="str">
        <f>IFERROR(INDEX(Students!#REF!,MATCH(17,Students!$W$4:$W$28,0)),"")</f>
        <v/>
      </c>
      <c r="B20" s="7" t="str">
        <f>IFERROR(INDEX(Students!$C$4:$C$28,MATCH(17,Students!$W$4:$W$28,0)),"")</f>
        <v/>
      </c>
      <c r="C20" s="4"/>
      <c r="D20" s="4"/>
      <c r="E20" s="4"/>
      <c r="F20" s="5"/>
      <c r="G20" s="5"/>
      <c r="H20" s="5"/>
      <c r="I20" s="5"/>
      <c r="J20" s="5"/>
      <c r="K20" s="4"/>
      <c r="L20" s="4"/>
      <c r="M20" s="7">
        <f t="shared" si="0"/>
        <v>0</v>
      </c>
      <c r="N20" s="4"/>
      <c r="O20" s="4"/>
      <c r="P20" s="4"/>
    </row>
    <row r="21" spans="1:16" x14ac:dyDescent="0.25">
      <c r="A21" s="7" t="str">
        <f>IFERROR(INDEX(Students!#REF!,MATCH(18,Students!$W$4:$W$28,0)),"")</f>
        <v/>
      </c>
      <c r="B21" s="7" t="str">
        <f>IFERROR(INDEX(Students!$C$4:$C$28,MATCH(18,Students!$W$4:$W$28,0)),"")</f>
        <v/>
      </c>
      <c r="C21" s="4"/>
      <c r="D21" s="4"/>
      <c r="E21" s="4"/>
      <c r="F21" s="5"/>
      <c r="G21" s="5"/>
      <c r="H21" s="5"/>
      <c r="I21" s="5"/>
      <c r="J21" s="5"/>
      <c r="K21" s="4"/>
      <c r="L21" s="4"/>
      <c r="M21" s="7">
        <f t="shared" si="0"/>
        <v>0</v>
      </c>
      <c r="N21" s="4"/>
      <c r="O21" s="4"/>
      <c r="P21" s="4"/>
    </row>
    <row r="22" spans="1:16" x14ac:dyDescent="0.25">
      <c r="A22" s="7" t="str">
        <f>IFERROR(INDEX(Students!#REF!,MATCH(19,Students!$W$4:$W$28,0)),"")</f>
        <v/>
      </c>
      <c r="B22" s="7" t="str">
        <f>IFERROR(INDEX(Students!$C$4:$C$28,MATCH(19,Students!$W$4:$W$28,0)),"")</f>
        <v/>
      </c>
      <c r="C22" s="4"/>
      <c r="D22" s="4"/>
      <c r="E22" s="4"/>
      <c r="F22" s="5"/>
      <c r="G22" s="5"/>
      <c r="H22" s="5"/>
      <c r="I22" s="5"/>
      <c r="J22" s="5"/>
      <c r="K22" s="4"/>
      <c r="L22" s="4"/>
      <c r="M22" s="7">
        <f t="shared" si="0"/>
        <v>0</v>
      </c>
      <c r="N22" s="4"/>
      <c r="O22" s="4"/>
      <c r="P22" s="4"/>
    </row>
    <row r="23" spans="1:16" x14ac:dyDescent="0.25">
      <c r="A23" s="7" t="str">
        <f>IFERROR(INDEX(Students!#REF!,MATCH(20,Students!$W$4:$W$28,0)),"")</f>
        <v/>
      </c>
      <c r="B23" s="7" t="str">
        <f>IFERROR(INDEX(Students!$C$4:$C$28,MATCH(20,Students!$W$4:$W$28,0)),"")</f>
        <v/>
      </c>
      <c r="C23" s="4"/>
      <c r="D23" s="4"/>
      <c r="E23" s="4"/>
      <c r="F23" s="5"/>
      <c r="G23" s="5"/>
      <c r="H23" s="5"/>
      <c r="I23" s="5"/>
      <c r="J23" s="5"/>
      <c r="K23" s="4"/>
      <c r="L23" s="4"/>
      <c r="M23" s="7">
        <f t="shared" si="0"/>
        <v>0</v>
      </c>
      <c r="N23" s="4"/>
      <c r="O23" s="4"/>
      <c r="P23" s="4"/>
    </row>
    <row r="24" spans="1:16" x14ac:dyDescent="0.25">
      <c r="A24" s="7" t="str">
        <f>IFERROR(INDEX(Students!#REF!,MATCH(21,Students!$W$4:$W$28,0)),"")</f>
        <v/>
      </c>
      <c r="B24" s="7" t="str">
        <f>IFERROR(INDEX(Students!$C$4:$C$28,MATCH(21,Students!$W$4:$W$28,0)),"")</f>
        <v/>
      </c>
      <c r="C24" s="4"/>
      <c r="D24" s="4"/>
      <c r="E24" s="4"/>
      <c r="F24" s="5"/>
      <c r="G24" s="5"/>
      <c r="H24" s="5"/>
      <c r="I24" s="5"/>
      <c r="J24" s="5"/>
      <c r="K24" s="4"/>
      <c r="L24" s="4"/>
      <c r="M24" s="7">
        <f t="shared" si="0"/>
        <v>0</v>
      </c>
      <c r="N24" s="4"/>
      <c r="O24" s="4"/>
      <c r="P24" s="4"/>
    </row>
    <row r="25" spans="1:16" x14ac:dyDescent="0.25">
      <c r="A25" s="7" t="str">
        <f>IFERROR(INDEX(Students!#REF!,MATCH(22,Students!$W$4:$W$28,0)),"")</f>
        <v/>
      </c>
      <c r="B25" s="7" t="str">
        <f>IFERROR(INDEX(Students!$C$4:$C$28,MATCH(22,Students!$W$4:$W$28,0)),"")</f>
        <v/>
      </c>
      <c r="C25" s="4"/>
      <c r="D25" s="4"/>
      <c r="E25" s="4"/>
      <c r="F25" s="5"/>
      <c r="G25" s="5"/>
      <c r="H25" s="5"/>
      <c r="I25" s="5"/>
      <c r="J25" s="5"/>
      <c r="K25" s="4"/>
      <c r="L25" s="4"/>
      <c r="M25" s="7">
        <f t="shared" si="0"/>
        <v>0</v>
      </c>
      <c r="N25" s="4"/>
      <c r="O25" s="4"/>
      <c r="P25" s="4"/>
    </row>
    <row r="26" spans="1:16" x14ac:dyDescent="0.25">
      <c r="A26" s="7" t="str">
        <f>IFERROR(INDEX(Students!#REF!,MATCH(23,Students!$W$4:$W$28,0)),"")</f>
        <v/>
      </c>
      <c r="B26" s="7" t="str">
        <f>IFERROR(INDEX(Students!$C$4:$C$28,MATCH(23,Students!$W$4:$W$28,0)),"")</f>
        <v/>
      </c>
      <c r="C26" s="4"/>
      <c r="D26" s="4"/>
      <c r="E26" s="4"/>
      <c r="F26" s="5"/>
      <c r="G26" s="5"/>
      <c r="H26" s="5"/>
      <c r="I26" s="5"/>
      <c r="J26" s="5"/>
      <c r="K26" s="4"/>
      <c r="L26" s="4"/>
      <c r="M26" s="7">
        <f t="shared" si="0"/>
        <v>0</v>
      </c>
      <c r="N26" s="4"/>
      <c r="O26" s="4"/>
      <c r="P26" s="4"/>
    </row>
    <row r="27" spans="1:16" x14ac:dyDescent="0.25">
      <c r="A27" s="7" t="str">
        <f>IFERROR(INDEX(Students!#REF!,MATCH(24,Students!$W$4:$W$28,0)),"")</f>
        <v/>
      </c>
      <c r="B27" s="7" t="str">
        <f>IFERROR(INDEX(Students!$C$4:$C$28,MATCH(24,Students!$W$4:$W$28,0)),"")</f>
        <v/>
      </c>
      <c r="C27" s="4"/>
      <c r="D27" s="4"/>
      <c r="E27" s="4"/>
      <c r="F27" s="5"/>
      <c r="G27" s="5"/>
      <c r="H27" s="5"/>
      <c r="I27" s="5"/>
      <c r="J27" s="5"/>
      <c r="K27" s="4"/>
      <c r="L27" s="4"/>
      <c r="M27" s="7">
        <f t="shared" si="0"/>
        <v>0</v>
      </c>
      <c r="N27" s="4"/>
      <c r="O27" s="4"/>
      <c r="P27" s="4"/>
    </row>
    <row r="28" spans="1:16" x14ac:dyDescent="0.25">
      <c r="A28" s="7" t="str">
        <f>IFERROR(INDEX(Students!#REF!,MATCH(25,Students!$W$4:$W$28,0)),"")</f>
        <v/>
      </c>
      <c r="B28" s="7" t="str">
        <f>IFERROR(INDEX(Students!$C$4:$C$28,MATCH(25,Students!$W$4:$W$28,0)),"")</f>
        <v/>
      </c>
      <c r="C28" s="4"/>
      <c r="D28" s="4"/>
      <c r="E28" s="4"/>
      <c r="F28" s="5"/>
      <c r="G28" s="5"/>
      <c r="H28" s="5"/>
      <c r="I28" s="5"/>
      <c r="J28" s="5"/>
      <c r="K28" s="4"/>
      <c r="L28" s="4"/>
      <c r="M28" s="7">
        <f t="shared" si="0"/>
        <v>0</v>
      </c>
      <c r="N28" s="4"/>
      <c r="O28" s="4"/>
      <c r="P28" s="4"/>
    </row>
  </sheetData>
  <sheetProtection formatCells="0" formatColumns="0" formatRows="0" insertColumns="0" insertRows="0" deleteColumns="0" deleteRows="0" selectLockedCells="1" sort="0" selectUnlockedCells="1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Membership (MEM-100)</vt:lpstr>
      <vt:lpstr>MIT (MIT-200)</vt:lpstr>
      <vt:lpstr>Proclaimers (PRO-300)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BABALOLA TOLUWANIMI</cp:lastModifiedBy>
  <cp:revision>0</cp:revision>
  <dcterms:created xsi:type="dcterms:W3CDTF">2026-07-22T19:51:39Z</dcterms:created>
  <dcterms:modified xsi:type="dcterms:W3CDTF">2026-08-16T13:59:05Z</dcterms:modified>
  <dc:language>en-US</dc:language>
</cp:coreProperties>
</file>